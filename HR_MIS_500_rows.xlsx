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hiva\Desktop\New folder (3)\"/>
    </mc:Choice>
  </mc:AlternateContent>
  <xr:revisionPtr revIDLastSave="0" documentId="13_ncr:1_{A21FA634-0F2C-4E4F-836B-804DF7AE9C26}" xr6:coauthVersionLast="47" xr6:coauthVersionMax="47" xr10:uidLastSave="{00000000-0000-0000-0000-000000000000}"/>
  <bookViews>
    <workbookView xWindow="-108" yWindow="-108" windowWidth="23256" windowHeight="12456" xr2:uid="{00000000-000D-0000-FFFF-FFFF00000000}"/>
  </bookViews>
  <sheets>
    <sheet name="Dashboard" sheetId="6" r:id="rId1"/>
    <sheet name="Findings" sheetId="5" r:id="rId2"/>
    <sheet name="Table1" sheetId="3" r:id="rId3"/>
  </sheets>
  <definedNames>
    <definedName name="_xlnm._FilterDatabase" localSheetId="2" hidden="1">Table1!$P:$P</definedName>
    <definedName name="_xlchart.v1.0" hidden="1">Findings!$F$29:$F$33</definedName>
    <definedName name="_xlchart.v1.1" hidden="1">Findings!$G$29:$G$33</definedName>
    <definedName name="ExternalData_1" localSheetId="2" hidden="1">Table1!$A$1:$P$501</definedName>
    <definedName name="_xlnm.Extract" localSheetId="2">Table1!$X$1</definedName>
    <definedName name="Slicer_Department">#N/A</definedName>
    <definedName name="Slicer_Joining_Month">#N/A</definedName>
    <definedName name="Slicer_Locat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 i="5" l="1"/>
  <c r="H23" i="5"/>
  <c r="G24" i="5"/>
  <c r="I24" i="5" s="1"/>
  <c r="H24" i="5"/>
  <c r="G25" i="5"/>
  <c r="I25" i="5" s="1"/>
  <c r="H25" i="5"/>
  <c r="G26" i="5"/>
  <c r="I26" i="5" s="1"/>
  <c r="H26" i="5"/>
  <c r="G27" i="5"/>
  <c r="I27" i="5" s="1"/>
  <c r="H27" i="5"/>
  <c r="G5" i="5"/>
  <c r="G30" i="5"/>
  <c r="G31" i="5"/>
  <c r="G32" i="5"/>
  <c r="G33" i="5"/>
  <c r="G29" i="5"/>
  <c r="Q4" i="3"/>
  <c r="Q2" i="3"/>
  <c r="Q3"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S2" i="3"/>
  <c r="U3" i="3"/>
  <c r="U2"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9" i="5"/>
  <c r="G6" i="5"/>
  <c r="G4" i="5"/>
  <c r="G3" i="5"/>
  <c r="G11" i="5"/>
  <c r="G8" i="5"/>
  <c r="G2" i="5"/>
  <c r="G10" i="5"/>
  <c r="G7" i="5"/>
  <c r="I23" i="5" l="1"/>
  <c r="G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93353E-51EB-4CA4-AA3E-F0254DCFF07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<sst xmlns="http://schemas.openxmlformats.org/spreadsheetml/2006/main" count="4163" uniqueCount="1550">
  <si>
    <t>Employee_ID</t>
  </si>
  <si>
    <t>Name</t>
  </si>
  <si>
    <t>Department</t>
  </si>
  <si>
    <t>Designation</t>
  </si>
  <si>
    <t>Location</t>
  </si>
  <si>
    <t>Joining_Date</t>
  </si>
  <si>
    <t>Exit_Date</t>
  </si>
  <si>
    <t>Status</t>
  </si>
  <si>
    <t>Salary</t>
  </si>
  <si>
    <t>Performance_Rating</t>
  </si>
  <si>
    <t>Manager</t>
  </si>
  <si>
    <t>Attendance_%</t>
  </si>
  <si>
    <t>EMP0001</t>
  </si>
  <si>
    <t>Employee_1</t>
  </si>
  <si>
    <t>Operations</t>
  </si>
  <si>
    <t>Executive</t>
  </si>
  <si>
    <t>Pune</t>
  </si>
  <si>
    <t>2018-04-19</t>
  </si>
  <si>
    <t>Exited</t>
  </si>
  <si>
    <t>Manager D</t>
  </si>
  <si>
    <t>EMP0002</t>
  </si>
  <si>
    <t>Employee_2</t>
  </si>
  <si>
    <t>IT</t>
  </si>
  <si>
    <t>2023-09-07</t>
  </si>
  <si>
    <t>Manager B</t>
  </si>
  <si>
    <t>EMP0003</t>
  </si>
  <si>
    <t>Employee_3</t>
  </si>
  <si>
    <t>Bangalore</t>
  </si>
  <si>
    <t>2020-07-16</t>
  </si>
  <si>
    <t>Active</t>
  </si>
  <si>
    <t>Manager A</t>
  </si>
  <si>
    <t>EMP0004</t>
  </si>
  <si>
    <t>Employee_4</t>
  </si>
  <si>
    <t>Analyst</t>
  </si>
  <si>
    <t>2018-06-05</t>
  </si>
  <si>
    <t>EMP0005</t>
  </si>
  <si>
    <t>Employee_5</t>
  </si>
  <si>
    <t>Sales</t>
  </si>
  <si>
    <t>2018-04-22</t>
  </si>
  <si>
    <t>EMP0006</t>
  </si>
  <si>
    <t>Employee_6</t>
  </si>
  <si>
    <t>2024-08-02</t>
  </si>
  <si>
    <t>Manager C</t>
  </si>
  <si>
    <t>EMP0007</t>
  </si>
  <si>
    <t>Employee_7</t>
  </si>
  <si>
    <t>Mumbai</t>
  </si>
  <si>
    <t>2023-09-14</t>
  </si>
  <si>
    <t>EMP0008</t>
  </si>
  <si>
    <t>Employee_8</t>
  </si>
  <si>
    <t>Senior Executive</t>
  </si>
  <si>
    <t>Nagpur</t>
  </si>
  <si>
    <t>2018-09-02</t>
  </si>
  <si>
    <t>EMP0009</t>
  </si>
  <si>
    <t>Employee_9</t>
  </si>
  <si>
    <t>HR</t>
  </si>
  <si>
    <t>2019-12-15</t>
  </si>
  <si>
    <t>EMP0010</t>
  </si>
  <si>
    <t>Employee_10</t>
  </si>
  <si>
    <t>2019-02-15</t>
  </si>
  <si>
    <t>EMP0011</t>
  </si>
  <si>
    <t>Employee_11</t>
  </si>
  <si>
    <t>Finance</t>
  </si>
  <si>
    <t>2018-09-18</t>
  </si>
  <si>
    <t>EMP0012</t>
  </si>
  <si>
    <t>Employee_12</t>
  </si>
  <si>
    <t>2018-10-24</t>
  </si>
  <si>
    <t>EMP0013</t>
  </si>
  <si>
    <t>Employee_13</t>
  </si>
  <si>
    <t>2019-03-29</t>
  </si>
  <si>
    <t>EMP0014</t>
  </si>
  <si>
    <t>Employee_14</t>
  </si>
  <si>
    <t>2022-03-23</t>
  </si>
  <si>
    <t>EMP0015</t>
  </si>
  <si>
    <t>Employee_15</t>
  </si>
  <si>
    <t>2018-12-13</t>
  </si>
  <si>
    <t>EMP0016</t>
  </si>
  <si>
    <t>Employee_16</t>
  </si>
  <si>
    <t>2018-07-15</t>
  </si>
  <si>
    <t>EMP0017</t>
  </si>
  <si>
    <t>Employee_17</t>
  </si>
  <si>
    <t>2024-05-01</t>
  </si>
  <si>
    <t>EMP0018</t>
  </si>
  <si>
    <t>Employee_18</t>
  </si>
  <si>
    <t>2021-12-18</t>
  </si>
  <si>
    <t>EMP0019</t>
  </si>
  <si>
    <t>Employee_19</t>
  </si>
  <si>
    <t>2019-05-11</t>
  </si>
  <si>
    <t>EMP0020</t>
  </si>
  <si>
    <t>Employee_20</t>
  </si>
  <si>
    <t>2018-09-01</t>
  </si>
  <si>
    <t>2022-04-03</t>
  </si>
  <si>
    <t>EMP0021</t>
  </si>
  <si>
    <t>Employee_21</t>
  </si>
  <si>
    <t>2024-08-20</t>
  </si>
  <si>
    <t>EMP0022</t>
  </si>
  <si>
    <t>Employee_22</t>
  </si>
  <si>
    <t>2024-08-28</t>
  </si>
  <si>
    <t>EMP0023</t>
  </si>
  <si>
    <t>Employee_23</t>
  </si>
  <si>
    <t>2023-01-01</t>
  </si>
  <si>
    <t>EMP0024</t>
  </si>
  <si>
    <t>Employee_24</t>
  </si>
  <si>
    <t>2020-07-05</t>
  </si>
  <si>
    <t>EMP0025</t>
  </si>
  <si>
    <t>Employee_25</t>
  </si>
  <si>
    <t>2020-06-14</t>
  </si>
  <si>
    <t>2020-07-15</t>
  </si>
  <si>
    <t>EMP0026</t>
  </si>
  <si>
    <t>Employee_26</t>
  </si>
  <si>
    <t>2022-06-23</t>
  </si>
  <si>
    <t>EMP0027</t>
  </si>
  <si>
    <t>Employee_27</t>
  </si>
  <si>
    <t>2019-11-07</t>
  </si>
  <si>
    <t>EMP0028</t>
  </si>
  <si>
    <t>Employee_28</t>
  </si>
  <si>
    <t>2018-02-21</t>
  </si>
  <si>
    <t>EMP0029</t>
  </si>
  <si>
    <t>Employee_29</t>
  </si>
  <si>
    <t>2024-02-19</t>
  </si>
  <si>
    <t>EMP0030</t>
  </si>
  <si>
    <t>Employee_30</t>
  </si>
  <si>
    <t>2019-10-18</t>
  </si>
  <si>
    <t>EMP0031</t>
  </si>
  <si>
    <t>Employee_31</t>
  </si>
  <si>
    <t>2024-10-18</t>
  </si>
  <si>
    <t>EMP0032</t>
  </si>
  <si>
    <t>Employee_32</t>
  </si>
  <si>
    <t>2019-12-23</t>
  </si>
  <si>
    <t>2021-12-20</t>
  </si>
  <si>
    <t>EMP0033</t>
  </si>
  <si>
    <t>Employee_33</t>
  </si>
  <si>
    <t>2021-10-29</t>
  </si>
  <si>
    <t>EMP0034</t>
  </si>
  <si>
    <t>Employee_34</t>
  </si>
  <si>
    <t>2023-06-17</t>
  </si>
  <si>
    <t>EMP0035</t>
  </si>
  <si>
    <t>Employee_35</t>
  </si>
  <si>
    <t>2021-07-02</t>
  </si>
  <si>
    <t>EMP0036</t>
  </si>
  <si>
    <t>Employee_36</t>
  </si>
  <si>
    <t>2021-11-29</t>
  </si>
  <si>
    <t>EMP0037</t>
  </si>
  <si>
    <t>Employee_37</t>
  </si>
  <si>
    <t>2021-06-29</t>
  </si>
  <si>
    <t>EMP0038</t>
  </si>
  <si>
    <t>Employee_38</t>
  </si>
  <si>
    <t>2021-06-10</t>
  </si>
  <si>
    <t>EMP0039</t>
  </si>
  <si>
    <t>Employee_39</t>
  </si>
  <si>
    <t>2021-02-10</t>
  </si>
  <si>
    <t>EMP0040</t>
  </si>
  <si>
    <t>Employee_40</t>
  </si>
  <si>
    <t>2023-03-04</t>
  </si>
  <si>
    <t>EMP0041</t>
  </si>
  <si>
    <t>Employee_41</t>
  </si>
  <si>
    <t>2021-02-12</t>
  </si>
  <si>
    <t>EMP0042</t>
  </si>
  <si>
    <t>Employee_42</t>
  </si>
  <si>
    <t>2021-07-01</t>
  </si>
  <si>
    <t>2024-04-23</t>
  </si>
  <si>
    <t>EMP0043</t>
  </si>
  <si>
    <t>Employee_43</t>
  </si>
  <si>
    <t>2018-06-16</t>
  </si>
  <si>
    <t>EMP0044</t>
  </si>
  <si>
    <t>Employee_44</t>
  </si>
  <si>
    <t>2024-08-08</t>
  </si>
  <si>
    <t>EMP0045</t>
  </si>
  <si>
    <t>Employee_45</t>
  </si>
  <si>
    <t>2019-03-24</t>
  </si>
  <si>
    <t>EMP0046</t>
  </si>
  <si>
    <t>Employee_46</t>
  </si>
  <si>
    <t>2018-05-29</t>
  </si>
  <si>
    <t>2021-08-07</t>
  </si>
  <si>
    <t>EMP0047</t>
  </si>
  <si>
    <t>Employee_47</t>
  </si>
  <si>
    <t>2024-01-17</t>
  </si>
  <si>
    <t>EMP0048</t>
  </si>
  <si>
    <t>Employee_48</t>
  </si>
  <si>
    <t>2019-07-05</t>
  </si>
  <si>
    <t>EMP0049</t>
  </si>
  <si>
    <t>Employee_49</t>
  </si>
  <si>
    <t>2022-08-30</t>
  </si>
  <si>
    <t>EMP0050</t>
  </si>
  <si>
    <t>Employee_50</t>
  </si>
  <si>
    <t>2022-12-26</t>
  </si>
  <si>
    <t>EMP0051</t>
  </si>
  <si>
    <t>Employee_51</t>
  </si>
  <si>
    <t>2019-11-01</t>
  </si>
  <si>
    <t>EMP0052</t>
  </si>
  <si>
    <t>Employee_52</t>
  </si>
  <si>
    <t>2021-10-02</t>
  </si>
  <si>
    <t>EMP0053</t>
  </si>
  <si>
    <t>Employee_53</t>
  </si>
  <si>
    <t>2021-07-10</t>
  </si>
  <si>
    <t>EMP0054</t>
  </si>
  <si>
    <t>Employee_54</t>
  </si>
  <si>
    <t>2020-02-11</t>
  </si>
  <si>
    <t>EMP0055</t>
  </si>
  <si>
    <t>Employee_55</t>
  </si>
  <si>
    <t>2021-02-08</t>
  </si>
  <si>
    <t>EMP0056</t>
  </si>
  <si>
    <t>Employee_56</t>
  </si>
  <si>
    <t>2023-11-24</t>
  </si>
  <si>
    <t>EMP0057</t>
  </si>
  <si>
    <t>Employee_57</t>
  </si>
  <si>
    <t>2018-11-27</t>
  </si>
  <si>
    <t>EMP0058</t>
  </si>
  <si>
    <t>Employee_58</t>
  </si>
  <si>
    <t>2022-05-10</t>
  </si>
  <si>
    <t>EMP0059</t>
  </si>
  <si>
    <t>Employee_59</t>
  </si>
  <si>
    <t>2024-12-17</t>
  </si>
  <si>
    <t>EMP0060</t>
  </si>
  <si>
    <t>Employee_60</t>
  </si>
  <si>
    <t>2021-06-07</t>
  </si>
  <si>
    <t>EMP0061</t>
  </si>
  <si>
    <t>Employee_61</t>
  </si>
  <si>
    <t>2020-06-08</t>
  </si>
  <si>
    <t>EMP0062</t>
  </si>
  <si>
    <t>Employee_62</t>
  </si>
  <si>
    <t>2024-01-24</t>
  </si>
  <si>
    <t>2024-07-12</t>
  </si>
  <si>
    <t>EMP0063</t>
  </si>
  <si>
    <t>Employee_63</t>
  </si>
  <si>
    <t>2024-07-31</t>
  </si>
  <si>
    <t>EMP0064</t>
  </si>
  <si>
    <t>Employee_64</t>
  </si>
  <si>
    <t>2024-07-04</t>
  </si>
  <si>
    <t>EMP0065</t>
  </si>
  <si>
    <t>Employee_65</t>
  </si>
  <si>
    <t>2023-05-11</t>
  </si>
  <si>
    <t>EMP0066</t>
  </si>
  <si>
    <t>Employee_66</t>
  </si>
  <si>
    <t>2019-07-04</t>
  </si>
  <si>
    <t>EMP0067</t>
  </si>
  <si>
    <t>Employee_67</t>
  </si>
  <si>
    <t>2021-01-26</t>
  </si>
  <si>
    <t>EMP0068</t>
  </si>
  <si>
    <t>Employee_68</t>
  </si>
  <si>
    <t>2022-02-16</t>
  </si>
  <si>
    <t>EMP0069</t>
  </si>
  <si>
    <t>Employee_69</t>
  </si>
  <si>
    <t>2019-04-27</t>
  </si>
  <si>
    <t>EMP0070</t>
  </si>
  <si>
    <t>Employee_70</t>
  </si>
  <si>
    <t>2018-02-27</t>
  </si>
  <si>
    <t>EMP0071</t>
  </si>
  <si>
    <t>Employee_71</t>
  </si>
  <si>
    <t>2019-10-03</t>
  </si>
  <si>
    <t>EMP0072</t>
  </si>
  <si>
    <t>Employee_72</t>
  </si>
  <si>
    <t>2023-03-12</t>
  </si>
  <si>
    <t>EMP0073</t>
  </si>
  <si>
    <t>Employee_73</t>
  </si>
  <si>
    <t>EMP0074</t>
  </si>
  <si>
    <t>Employee_74</t>
  </si>
  <si>
    <t>2022-08-29</t>
  </si>
  <si>
    <t>EMP0075</t>
  </si>
  <si>
    <t>Employee_75</t>
  </si>
  <si>
    <t>2019-06-17</t>
  </si>
  <si>
    <t>EMP0076</t>
  </si>
  <si>
    <t>Employee_76</t>
  </si>
  <si>
    <t>2021-05-15</t>
  </si>
  <si>
    <t>EMP0077</t>
  </si>
  <si>
    <t>Employee_77</t>
  </si>
  <si>
    <t>2021-06-14</t>
  </si>
  <si>
    <t>EMP0078</t>
  </si>
  <si>
    <t>Employee_78</t>
  </si>
  <si>
    <t>2019-08-14</t>
  </si>
  <si>
    <t>EMP0079</t>
  </si>
  <si>
    <t>Employee_79</t>
  </si>
  <si>
    <t>2023-04-12</t>
  </si>
  <si>
    <t>EMP0080</t>
  </si>
  <si>
    <t>Employee_80</t>
  </si>
  <si>
    <t>2021-05-30</t>
  </si>
  <si>
    <t>EMP0081</t>
  </si>
  <si>
    <t>Employee_81</t>
  </si>
  <si>
    <t>2022-02-09</t>
  </si>
  <si>
    <t>EMP0082</t>
  </si>
  <si>
    <t>Employee_82</t>
  </si>
  <si>
    <t>2021-08-27</t>
  </si>
  <si>
    <t>EMP0083</t>
  </si>
  <si>
    <t>Employee_83</t>
  </si>
  <si>
    <t>2018-05-30</t>
  </si>
  <si>
    <t>EMP0084</t>
  </si>
  <si>
    <t>Employee_84</t>
  </si>
  <si>
    <t>2023-07-04</t>
  </si>
  <si>
    <t>EMP0085</t>
  </si>
  <si>
    <t>Employee_85</t>
  </si>
  <si>
    <t>2020-05-11</t>
  </si>
  <si>
    <t>EMP0086</t>
  </si>
  <si>
    <t>Employee_86</t>
  </si>
  <si>
    <t>2023-11-21</t>
  </si>
  <si>
    <t>EMP0087</t>
  </si>
  <si>
    <t>Employee_87</t>
  </si>
  <si>
    <t>2023-08-24</t>
  </si>
  <si>
    <t>EMP0088</t>
  </si>
  <si>
    <t>Employee_88</t>
  </si>
  <si>
    <t>2024-07-14</t>
  </si>
  <si>
    <t>EMP0089</t>
  </si>
  <si>
    <t>Employee_89</t>
  </si>
  <si>
    <t>2024-09-21</t>
  </si>
  <si>
    <t>EMP0090</t>
  </si>
  <si>
    <t>Employee_90</t>
  </si>
  <si>
    <t>2018-01-31</t>
  </si>
  <si>
    <t>2020-11-18</t>
  </si>
  <si>
    <t>EMP0091</t>
  </si>
  <si>
    <t>Employee_91</t>
  </si>
  <si>
    <t>2021-07-30</t>
  </si>
  <si>
    <t>EMP0092</t>
  </si>
  <si>
    <t>Employee_92</t>
  </si>
  <si>
    <t>2019-07-06</t>
  </si>
  <si>
    <t>EMP0093</t>
  </si>
  <si>
    <t>Employee_93</t>
  </si>
  <si>
    <t>2018-09-13</t>
  </si>
  <si>
    <t>EMP0094</t>
  </si>
  <si>
    <t>Employee_94</t>
  </si>
  <si>
    <t>2020-07-07</t>
  </si>
  <si>
    <t>EMP0095</t>
  </si>
  <si>
    <t>Employee_95</t>
  </si>
  <si>
    <t>2021-03-27</t>
  </si>
  <si>
    <t>EMP0096</t>
  </si>
  <si>
    <t>Employee_96</t>
  </si>
  <si>
    <t>2022-06-28</t>
  </si>
  <si>
    <t>EMP0097</t>
  </si>
  <si>
    <t>Employee_97</t>
  </si>
  <si>
    <t>2019-06-15</t>
  </si>
  <si>
    <t>EMP0098</t>
  </si>
  <si>
    <t>Employee_98</t>
  </si>
  <si>
    <t>2018-03-08</t>
  </si>
  <si>
    <t>2021-09-27</t>
  </si>
  <si>
    <t>EMP0099</t>
  </si>
  <si>
    <t>Employee_99</t>
  </si>
  <si>
    <t>2018-07-28</t>
  </si>
  <si>
    <t>EMP0100</t>
  </si>
  <si>
    <t>Employee_100</t>
  </si>
  <si>
    <t>2021-09-17</t>
  </si>
  <si>
    <t>EMP0101</t>
  </si>
  <si>
    <t>Employee_101</t>
  </si>
  <si>
    <t>2023-08-01</t>
  </si>
  <si>
    <t>EMP0102</t>
  </si>
  <si>
    <t>Employee_102</t>
  </si>
  <si>
    <t>2020-09-09</t>
  </si>
  <si>
    <t>EMP0103</t>
  </si>
  <si>
    <t>Employee_103</t>
  </si>
  <si>
    <t>EMP0104</t>
  </si>
  <si>
    <t>Employee_104</t>
  </si>
  <si>
    <t>2019-09-02</t>
  </si>
  <si>
    <t>2023-09-26</t>
  </si>
  <si>
    <t>EMP0105</t>
  </si>
  <si>
    <t>Employee_105</t>
  </si>
  <si>
    <t>2021-12-28</t>
  </si>
  <si>
    <t>EMP0106</t>
  </si>
  <si>
    <t>Employee_106</t>
  </si>
  <si>
    <t>2019-07-21</t>
  </si>
  <si>
    <t>EMP0107</t>
  </si>
  <si>
    <t>Employee_107</t>
  </si>
  <si>
    <t>2018-07-14</t>
  </si>
  <si>
    <t>EMP0108</t>
  </si>
  <si>
    <t>Employee_108</t>
  </si>
  <si>
    <t>2018-11-19</t>
  </si>
  <si>
    <t>EMP0109</t>
  </si>
  <si>
    <t>Employee_109</t>
  </si>
  <si>
    <t>2022-01-01</t>
  </si>
  <si>
    <t>EMP0110</t>
  </si>
  <si>
    <t>Employee_110</t>
  </si>
  <si>
    <t>2023-09-02</t>
  </si>
  <si>
    <t>EMP0111</t>
  </si>
  <si>
    <t>Employee_111</t>
  </si>
  <si>
    <t>2023-03-24</t>
  </si>
  <si>
    <t>EMP0112</t>
  </si>
  <si>
    <t>Employee_112</t>
  </si>
  <si>
    <t>2024-02-24</t>
  </si>
  <si>
    <t>EMP0113</t>
  </si>
  <si>
    <t>Employee_113</t>
  </si>
  <si>
    <t>2022-07-27</t>
  </si>
  <si>
    <t>EMP0114</t>
  </si>
  <si>
    <t>Employee_114</t>
  </si>
  <si>
    <t>2022-11-11</t>
  </si>
  <si>
    <t>EMP0115</t>
  </si>
  <si>
    <t>Employee_115</t>
  </si>
  <si>
    <t>2024-11-23</t>
  </si>
  <si>
    <t>EMP0116</t>
  </si>
  <si>
    <t>Employee_116</t>
  </si>
  <si>
    <t>2019-11-19</t>
  </si>
  <si>
    <t>EMP0117</t>
  </si>
  <si>
    <t>Employee_117</t>
  </si>
  <si>
    <t>2018-12-12</t>
  </si>
  <si>
    <t>EMP0118</t>
  </si>
  <si>
    <t>Employee_118</t>
  </si>
  <si>
    <t>2021-08-15</t>
  </si>
  <si>
    <t>EMP0119</t>
  </si>
  <si>
    <t>Employee_119</t>
  </si>
  <si>
    <t>2018-06-04</t>
  </si>
  <si>
    <t>EMP0120</t>
  </si>
  <si>
    <t>Employee_120</t>
  </si>
  <si>
    <t>2022-10-17</t>
  </si>
  <si>
    <t>EMP0121</t>
  </si>
  <si>
    <t>Employee_121</t>
  </si>
  <si>
    <t>2018-06-20</t>
  </si>
  <si>
    <t>EMP0122</t>
  </si>
  <si>
    <t>Employee_122</t>
  </si>
  <si>
    <t>2022-01-09</t>
  </si>
  <si>
    <t>EMP0123</t>
  </si>
  <si>
    <t>Employee_123</t>
  </si>
  <si>
    <t>2022-03-14</t>
  </si>
  <si>
    <t>EMP0124</t>
  </si>
  <si>
    <t>Employee_124</t>
  </si>
  <si>
    <t>2024-08-27</t>
  </si>
  <si>
    <t>EMP0125</t>
  </si>
  <si>
    <t>Employee_125</t>
  </si>
  <si>
    <t>2020-12-04</t>
  </si>
  <si>
    <t>EMP0126</t>
  </si>
  <si>
    <t>Employee_126</t>
  </si>
  <si>
    <t>2020-01-06</t>
  </si>
  <si>
    <t>EMP0127</t>
  </si>
  <si>
    <t>Employee_127</t>
  </si>
  <si>
    <t>EMP0128</t>
  </si>
  <si>
    <t>Employee_128</t>
  </si>
  <si>
    <t>2018-12-02</t>
  </si>
  <si>
    <t>EMP0129</t>
  </si>
  <si>
    <t>Employee_129</t>
  </si>
  <si>
    <t>2023-06-05</t>
  </si>
  <si>
    <t>EMP0130</t>
  </si>
  <si>
    <t>Employee_130</t>
  </si>
  <si>
    <t>2018-08-04</t>
  </si>
  <si>
    <t>EMP0131</t>
  </si>
  <si>
    <t>Employee_131</t>
  </si>
  <si>
    <t>2019-03-07</t>
  </si>
  <si>
    <t>EMP0132</t>
  </si>
  <si>
    <t>Employee_132</t>
  </si>
  <si>
    <t>2020-07-21</t>
  </si>
  <si>
    <t>EMP0133</t>
  </si>
  <si>
    <t>Employee_133</t>
  </si>
  <si>
    <t>2020-10-19</t>
  </si>
  <si>
    <t>EMP0134</t>
  </si>
  <si>
    <t>Employee_134</t>
  </si>
  <si>
    <t>2021-09-14</t>
  </si>
  <si>
    <t>EMP0135</t>
  </si>
  <si>
    <t>Employee_135</t>
  </si>
  <si>
    <t>2018-03-21</t>
  </si>
  <si>
    <t>EMP0136</t>
  </si>
  <si>
    <t>Employee_136</t>
  </si>
  <si>
    <t>2018-04-11</t>
  </si>
  <si>
    <t>EMP0137</t>
  </si>
  <si>
    <t>Employee_137</t>
  </si>
  <si>
    <t>EMP0138</t>
  </si>
  <si>
    <t>Employee_138</t>
  </si>
  <si>
    <t>EMP0139</t>
  </si>
  <si>
    <t>Employee_139</t>
  </si>
  <si>
    <t>2019-07-11</t>
  </si>
  <si>
    <t>2022-09-19</t>
  </si>
  <si>
    <t>EMP0140</t>
  </si>
  <si>
    <t>Employee_140</t>
  </si>
  <si>
    <t>2022-07-02</t>
  </si>
  <si>
    <t>EMP0141</t>
  </si>
  <si>
    <t>Employee_141</t>
  </si>
  <si>
    <t>EMP0142</t>
  </si>
  <si>
    <t>Employee_142</t>
  </si>
  <si>
    <t>2020-02-09</t>
  </si>
  <si>
    <t>EMP0143</t>
  </si>
  <si>
    <t>Employee_143</t>
  </si>
  <si>
    <t>2022-07-06</t>
  </si>
  <si>
    <t>EMP0144</t>
  </si>
  <si>
    <t>Employee_144</t>
  </si>
  <si>
    <t>2019-03-20</t>
  </si>
  <si>
    <t>EMP0145</t>
  </si>
  <si>
    <t>Employee_145</t>
  </si>
  <si>
    <t>2022-07-01</t>
  </si>
  <si>
    <t>EMP0146</t>
  </si>
  <si>
    <t>Employee_146</t>
  </si>
  <si>
    <t>2020-12-28</t>
  </si>
  <si>
    <t>EMP0147</t>
  </si>
  <si>
    <t>Employee_147</t>
  </si>
  <si>
    <t>2018-02-02</t>
  </si>
  <si>
    <t>EMP0148</t>
  </si>
  <si>
    <t>Employee_148</t>
  </si>
  <si>
    <t>2023-01-13</t>
  </si>
  <si>
    <t>2024-05-03</t>
  </si>
  <si>
    <t>EMP0149</t>
  </si>
  <si>
    <t>Employee_149</t>
  </si>
  <si>
    <t>2019-04-25</t>
  </si>
  <si>
    <t>EMP0150</t>
  </si>
  <si>
    <t>Employee_150</t>
  </si>
  <si>
    <t>2018-02-22</t>
  </si>
  <si>
    <t>EMP0151</t>
  </si>
  <si>
    <t>Employee_151</t>
  </si>
  <si>
    <t>2020-01-05</t>
  </si>
  <si>
    <t>EMP0152</t>
  </si>
  <si>
    <t>Employee_152</t>
  </si>
  <si>
    <t>2019-01-25</t>
  </si>
  <si>
    <t>EMP0153</t>
  </si>
  <si>
    <t>Employee_153</t>
  </si>
  <si>
    <t>EMP0154</t>
  </si>
  <si>
    <t>Employee_154</t>
  </si>
  <si>
    <t>2023-08-14</t>
  </si>
  <si>
    <t>EMP0155</t>
  </si>
  <si>
    <t>Employee_155</t>
  </si>
  <si>
    <t>2019-01-26</t>
  </si>
  <si>
    <t>EMP0156</t>
  </si>
  <si>
    <t>Employee_156</t>
  </si>
  <si>
    <t>2023-11-14</t>
  </si>
  <si>
    <t>EMP0157</t>
  </si>
  <si>
    <t>Employee_157</t>
  </si>
  <si>
    <t>2018-09-07</t>
  </si>
  <si>
    <t>EMP0158</t>
  </si>
  <si>
    <t>Employee_158</t>
  </si>
  <si>
    <t>2020-09-14</t>
  </si>
  <si>
    <t>EMP0159</t>
  </si>
  <si>
    <t>Employee_159</t>
  </si>
  <si>
    <t>2020-04-19</t>
  </si>
  <si>
    <t>EMP0160</t>
  </si>
  <si>
    <t>Employee_160</t>
  </si>
  <si>
    <t>2022-11-02</t>
  </si>
  <si>
    <t>EMP0161</t>
  </si>
  <si>
    <t>Employee_161</t>
  </si>
  <si>
    <t>EMP0162</t>
  </si>
  <si>
    <t>Employee_162</t>
  </si>
  <si>
    <t>2021-09-26</t>
  </si>
  <si>
    <t>EMP0163</t>
  </si>
  <si>
    <t>Employee_163</t>
  </si>
  <si>
    <t>2019-01-30</t>
  </si>
  <si>
    <t>EMP0164</t>
  </si>
  <si>
    <t>Employee_164</t>
  </si>
  <si>
    <t>2018-11-23</t>
  </si>
  <si>
    <t>EMP0165</t>
  </si>
  <si>
    <t>Employee_165</t>
  </si>
  <si>
    <t>2023-06-20</t>
  </si>
  <si>
    <t>EMP0166</t>
  </si>
  <si>
    <t>Employee_166</t>
  </si>
  <si>
    <t>2023-03-07</t>
  </si>
  <si>
    <t>EMP0167</t>
  </si>
  <si>
    <t>Employee_167</t>
  </si>
  <si>
    <t>2018-04-15</t>
  </si>
  <si>
    <t>EMP0168</t>
  </si>
  <si>
    <t>Employee_168</t>
  </si>
  <si>
    <t>2023-10-11</t>
  </si>
  <si>
    <t>EMP0169</t>
  </si>
  <si>
    <t>Employee_169</t>
  </si>
  <si>
    <t>2020-02-13</t>
  </si>
  <si>
    <t>EMP0170</t>
  </si>
  <si>
    <t>Employee_170</t>
  </si>
  <si>
    <t>2022-09-04</t>
  </si>
  <si>
    <t>EMP0171</t>
  </si>
  <si>
    <t>Employee_171</t>
  </si>
  <si>
    <t>2022-12-18</t>
  </si>
  <si>
    <t>EMP0172</t>
  </si>
  <si>
    <t>Employee_172</t>
  </si>
  <si>
    <t>2024-07-06</t>
  </si>
  <si>
    <t>EMP0173</t>
  </si>
  <si>
    <t>Employee_173</t>
  </si>
  <si>
    <t>2020-12-11</t>
  </si>
  <si>
    <t>EMP0174</t>
  </si>
  <si>
    <t>Employee_174</t>
  </si>
  <si>
    <t>2018-05-28</t>
  </si>
  <si>
    <t>EMP0175</t>
  </si>
  <si>
    <t>Employee_175</t>
  </si>
  <si>
    <t>EMP0176</t>
  </si>
  <si>
    <t>Employee_176</t>
  </si>
  <si>
    <t>2020-06-03</t>
  </si>
  <si>
    <t>2023-09-22</t>
  </si>
  <si>
    <t>EMP0177</t>
  </si>
  <si>
    <t>Employee_177</t>
  </si>
  <si>
    <t>2019-12-17</t>
  </si>
  <si>
    <t>2023-01-16</t>
  </si>
  <si>
    <t>EMP0178</t>
  </si>
  <si>
    <t>Employee_178</t>
  </si>
  <si>
    <t>2022-01-14</t>
  </si>
  <si>
    <t>EMP0179</t>
  </si>
  <si>
    <t>Employee_179</t>
  </si>
  <si>
    <t>2020-03-19</t>
  </si>
  <si>
    <t>EMP0180</t>
  </si>
  <si>
    <t>Employee_180</t>
  </si>
  <si>
    <t>2018-06-29</t>
  </si>
  <si>
    <t>EMP0181</t>
  </si>
  <si>
    <t>Employee_181</t>
  </si>
  <si>
    <t>2023-10-29</t>
  </si>
  <si>
    <t>EMP0182</t>
  </si>
  <si>
    <t>Employee_182</t>
  </si>
  <si>
    <t>2019-12-06</t>
  </si>
  <si>
    <t>EMP0183</t>
  </si>
  <si>
    <t>Employee_183</t>
  </si>
  <si>
    <t>2021-02-02</t>
  </si>
  <si>
    <t>EMP0184</t>
  </si>
  <si>
    <t>Employee_184</t>
  </si>
  <si>
    <t>2021-05-12</t>
  </si>
  <si>
    <t>EMP0185</t>
  </si>
  <si>
    <t>Employee_185</t>
  </si>
  <si>
    <t>2023-06-30</t>
  </si>
  <si>
    <t>EMP0186</t>
  </si>
  <si>
    <t>Employee_186</t>
  </si>
  <si>
    <t>EMP0187</t>
  </si>
  <si>
    <t>Employee_187</t>
  </si>
  <si>
    <t>2024-01-09</t>
  </si>
  <si>
    <t>EMP0188</t>
  </si>
  <si>
    <t>Employee_188</t>
  </si>
  <si>
    <t>2019-04-18</t>
  </si>
  <si>
    <t>EMP0189</t>
  </si>
  <si>
    <t>Employee_189</t>
  </si>
  <si>
    <t>2024-04-06</t>
  </si>
  <si>
    <t>EMP0190</t>
  </si>
  <si>
    <t>Employee_190</t>
  </si>
  <si>
    <t>2020-11-10</t>
  </si>
  <si>
    <t>EMP0191</t>
  </si>
  <si>
    <t>Employee_191</t>
  </si>
  <si>
    <t>2018-04-17</t>
  </si>
  <si>
    <t>EMP0192</t>
  </si>
  <si>
    <t>Employee_192</t>
  </si>
  <si>
    <t>2019-11-25</t>
  </si>
  <si>
    <t>EMP0193</t>
  </si>
  <si>
    <t>Employee_193</t>
  </si>
  <si>
    <t>2018-12-08</t>
  </si>
  <si>
    <t>EMP0194</t>
  </si>
  <si>
    <t>Employee_194</t>
  </si>
  <si>
    <t>2020-12-18</t>
  </si>
  <si>
    <t>EMP0195</t>
  </si>
  <si>
    <t>Employee_195</t>
  </si>
  <si>
    <t>2019-01-05</t>
  </si>
  <si>
    <t>EMP0196</t>
  </si>
  <si>
    <t>Employee_196</t>
  </si>
  <si>
    <t>2024-07-10</t>
  </si>
  <si>
    <t>EMP0197</t>
  </si>
  <si>
    <t>Employee_197</t>
  </si>
  <si>
    <t>2024-05-12</t>
  </si>
  <si>
    <t>EMP0198</t>
  </si>
  <si>
    <t>Employee_198</t>
  </si>
  <si>
    <t>2021-08-30</t>
  </si>
  <si>
    <t>EMP0199</t>
  </si>
  <si>
    <t>Employee_199</t>
  </si>
  <si>
    <t>2020-10-03</t>
  </si>
  <si>
    <t>EMP0200</t>
  </si>
  <si>
    <t>Employee_200</t>
  </si>
  <si>
    <t>2020-07-06</t>
  </si>
  <si>
    <t>EMP0201</t>
  </si>
  <si>
    <t>Employee_201</t>
  </si>
  <si>
    <t>2023-09-28</t>
  </si>
  <si>
    <t>EMP0202</t>
  </si>
  <si>
    <t>Employee_202</t>
  </si>
  <si>
    <t>2022-12-25</t>
  </si>
  <si>
    <t>EMP0203</t>
  </si>
  <si>
    <t>Employee_203</t>
  </si>
  <si>
    <t>2022-05-05</t>
  </si>
  <si>
    <t>EMP0204</t>
  </si>
  <si>
    <t>Employee_204</t>
  </si>
  <si>
    <t>2021-11-27</t>
  </si>
  <si>
    <t>EMP0205</t>
  </si>
  <si>
    <t>Employee_205</t>
  </si>
  <si>
    <t>2024-06-04</t>
  </si>
  <si>
    <t>EMP0206</t>
  </si>
  <si>
    <t>Employee_206</t>
  </si>
  <si>
    <t>2024-09-05</t>
  </si>
  <si>
    <t>EMP0207</t>
  </si>
  <si>
    <t>Employee_207</t>
  </si>
  <si>
    <t>2021-10-09</t>
  </si>
  <si>
    <t>EMP0208</t>
  </si>
  <si>
    <t>Employee_208</t>
  </si>
  <si>
    <t>2022-10-16</t>
  </si>
  <si>
    <t>EMP0209</t>
  </si>
  <si>
    <t>Employee_209</t>
  </si>
  <si>
    <t>2021-09-07</t>
  </si>
  <si>
    <t>EMP0210</t>
  </si>
  <si>
    <t>Employee_210</t>
  </si>
  <si>
    <t>2018-11-29</t>
  </si>
  <si>
    <t>EMP0211</t>
  </si>
  <si>
    <t>Employee_211</t>
  </si>
  <si>
    <t>EMP0212</t>
  </si>
  <si>
    <t>Employee_212</t>
  </si>
  <si>
    <t>2019-04-14</t>
  </si>
  <si>
    <t>EMP0213</t>
  </si>
  <si>
    <t>Employee_213</t>
  </si>
  <si>
    <t>2019-01-06</t>
  </si>
  <si>
    <t>EMP0214</t>
  </si>
  <si>
    <t>Employee_214</t>
  </si>
  <si>
    <t>2021-12-04</t>
  </si>
  <si>
    <t>EMP0215</t>
  </si>
  <si>
    <t>Employee_215</t>
  </si>
  <si>
    <t>2022-03-25</t>
  </si>
  <si>
    <t>2024-12-08</t>
  </si>
  <si>
    <t>EMP0216</t>
  </si>
  <si>
    <t>Employee_216</t>
  </si>
  <si>
    <t>2023-01-15</t>
  </si>
  <si>
    <t>EMP0217</t>
  </si>
  <si>
    <t>Employee_217</t>
  </si>
  <si>
    <t>2020-06-06</t>
  </si>
  <si>
    <t>EMP0218</t>
  </si>
  <si>
    <t>Employee_218</t>
  </si>
  <si>
    <t>2022-09-02</t>
  </si>
  <si>
    <t>EMP0219</t>
  </si>
  <si>
    <t>Employee_219</t>
  </si>
  <si>
    <t>2022-08-19</t>
  </si>
  <si>
    <t>EMP0220</t>
  </si>
  <si>
    <t>Employee_220</t>
  </si>
  <si>
    <t>2020-06-17</t>
  </si>
  <si>
    <t>EMP0221</t>
  </si>
  <si>
    <t>Employee_221</t>
  </si>
  <si>
    <t>2023-07-22</t>
  </si>
  <si>
    <t>EMP0222</t>
  </si>
  <si>
    <t>Employee_222</t>
  </si>
  <si>
    <t>EMP0223</t>
  </si>
  <si>
    <t>Employee_223</t>
  </si>
  <si>
    <t>2020-09-29</t>
  </si>
  <si>
    <t>EMP0224</t>
  </si>
  <si>
    <t>Employee_224</t>
  </si>
  <si>
    <t>2020-02-08</t>
  </si>
  <si>
    <t>EMP0225</t>
  </si>
  <si>
    <t>Employee_225</t>
  </si>
  <si>
    <t>2019-01-20</t>
  </si>
  <si>
    <t>2020-07-14</t>
  </si>
  <si>
    <t>EMP0226</t>
  </si>
  <si>
    <t>Employee_226</t>
  </si>
  <si>
    <t>2021-04-09</t>
  </si>
  <si>
    <t>EMP0227</t>
  </si>
  <si>
    <t>Employee_227</t>
  </si>
  <si>
    <t>2020-06-09</t>
  </si>
  <si>
    <t>EMP0228</t>
  </si>
  <si>
    <t>Employee_228</t>
  </si>
  <si>
    <t>2018-04-26</t>
  </si>
  <si>
    <t>EMP0229</t>
  </si>
  <si>
    <t>Employee_229</t>
  </si>
  <si>
    <t>2021-11-24</t>
  </si>
  <si>
    <t>EMP0230</t>
  </si>
  <si>
    <t>Employee_230</t>
  </si>
  <si>
    <t>2024-12-07</t>
  </si>
  <si>
    <t>EMP0231</t>
  </si>
  <si>
    <t>Employee_231</t>
  </si>
  <si>
    <t>2024-11-03</t>
  </si>
  <si>
    <t>EMP0232</t>
  </si>
  <si>
    <t>Employee_232</t>
  </si>
  <si>
    <t>2022-03-08</t>
  </si>
  <si>
    <t>EMP0233</t>
  </si>
  <si>
    <t>Employee_233</t>
  </si>
  <si>
    <t>2018-10-14</t>
  </si>
  <si>
    <t>EMP0234</t>
  </si>
  <si>
    <t>Employee_234</t>
  </si>
  <si>
    <t>2024-02-15</t>
  </si>
  <si>
    <t>EMP0235</t>
  </si>
  <si>
    <t>Employee_235</t>
  </si>
  <si>
    <t>2023-06-09</t>
  </si>
  <si>
    <t>EMP0236</t>
  </si>
  <si>
    <t>Employee_236</t>
  </si>
  <si>
    <t>2019-08-12</t>
  </si>
  <si>
    <t>EMP0237</t>
  </si>
  <si>
    <t>Employee_237</t>
  </si>
  <si>
    <t>2022-12-09</t>
  </si>
  <si>
    <t>EMP0238</t>
  </si>
  <si>
    <t>Employee_238</t>
  </si>
  <si>
    <t>2022-10-18</t>
  </si>
  <si>
    <t>EMP0239</t>
  </si>
  <si>
    <t>Employee_239</t>
  </si>
  <si>
    <t>EMP0240</t>
  </si>
  <si>
    <t>Employee_240</t>
  </si>
  <si>
    <t>2018-10-25</t>
  </si>
  <si>
    <t>EMP0241</t>
  </si>
  <si>
    <t>Employee_241</t>
  </si>
  <si>
    <t>2021-09-02</t>
  </si>
  <si>
    <t>EMP0242</t>
  </si>
  <si>
    <t>Employee_242</t>
  </si>
  <si>
    <t>2018-10-01</t>
  </si>
  <si>
    <t>EMP0243</t>
  </si>
  <si>
    <t>Employee_243</t>
  </si>
  <si>
    <t>2023-06-08</t>
  </si>
  <si>
    <t>2024-08-22</t>
  </si>
  <si>
    <t>EMP0244</t>
  </si>
  <si>
    <t>Employee_244</t>
  </si>
  <si>
    <t>2023-11-28</t>
  </si>
  <si>
    <t>EMP0245</t>
  </si>
  <si>
    <t>Employee_245</t>
  </si>
  <si>
    <t>EMP0246</t>
  </si>
  <si>
    <t>Employee_246</t>
  </si>
  <si>
    <t>2018-07-21</t>
  </si>
  <si>
    <t>EMP0247</t>
  </si>
  <si>
    <t>Employee_247</t>
  </si>
  <si>
    <t>EMP0248</t>
  </si>
  <si>
    <t>Employee_248</t>
  </si>
  <si>
    <t>2020-03-17</t>
  </si>
  <si>
    <t>EMP0249</t>
  </si>
  <si>
    <t>Employee_249</t>
  </si>
  <si>
    <t>2024-05-18</t>
  </si>
  <si>
    <t>EMP0250</t>
  </si>
  <si>
    <t>Employee_250</t>
  </si>
  <si>
    <t>2024-01-10</t>
  </si>
  <si>
    <t>EMP0251</t>
  </si>
  <si>
    <t>Employee_251</t>
  </si>
  <si>
    <t>2018-07-23</t>
  </si>
  <si>
    <t>EMP0252</t>
  </si>
  <si>
    <t>Employee_252</t>
  </si>
  <si>
    <t>EMP0253</t>
  </si>
  <si>
    <t>Employee_253</t>
  </si>
  <si>
    <t>EMP0254</t>
  </si>
  <si>
    <t>Employee_254</t>
  </si>
  <si>
    <t>2023-09-10</t>
  </si>
  <si>
    <t>EMP0255</t>
  </si>
  <si>
    <t>Employee_255</t>
  </si>
  <si>
    <t>2023-04-30</t>
  </si>
  <si>
    <t>EMP0256</t>
  </si>
  <si>
    <t>Employee_256</t>
  </si>
  <si>
    <t>EMP0257</t>
  </si>
  <si>
    <t>Employee_257</t>
  </si>
  <si>
    <t>2020-05-01</t>
  </si>
  <si>
    <t>EMP0258</t>
  </si>
  <si>
    <t>Employee_258</t>
  </si>
  <si>
    <t>2021-03-31</t>
  </si>
  <si>
    <t>EMP0259</t>
  </si>
  <si>
    <t>Employee_259</t>
  </si>
  <si>
    <t>2020-11-02</t>
  </si>
  <si>
    <t>EMP0260</t>
  </si>
  <si>
    <t>Employee_260</t>
  </si>
  <si>
    <t>2023-05-08</t>
  </si>
  <si>
    <t>EMP0261</t>
  </si>
  <si>
    <t>Employee_261</t>
  </si>
  <si>
    <t>2023-09-27</t>
  </si>
  <si>
    <t>EMP0262</t>
  </si>
  <si>
    <t>Employee_262</t>
  </si>
  <si>
    <t>2021-09-13</t>
  </si>
  <si>
    <t>EMP0263</t>
  </si>
  <si>
    <t>Employee_263</t>
  </si>
  <si>
    <t>2022-11-23</t>
  </si>
  <si>
    <t>EMP0264</t>
  </si>
  <si>
    <t>Employee_264</t>
  </si>
  <si>
    <t>2021-05-18</t>
  </si>
  <si>
    <t>EMP0265</t>
  </si>
  <si>
    <t>Employee_265</t>
  </si>
  <si>
    <t>EMP0266</t>
  </si>
  <si>
    <t>Employee_266</t>
  </si>
  <si>
    <t>2020-07-11</t>
  </si>
  <si>
    <t>EMP0267</t>
  </si>
  <si>
    <t>Employee_267</t>
  </si>
  <si>
    <t>2024-07-03</t>
  </si>
  <si>
    <t>EMP0268</t>
  </si>
  <si>
    <t>Employee_268</t>
  </si>
  <si>
    <t>2024-11-30</t>
  </si>
  <si>
    <t>EMP0269</t>
  </si>
  <si>
    <t>Employee_269</t>
  </si>
  <si>
    <t>2021-06-03</t>
  </si>
  <si>
    <t>EMP0270</t>
  </si>
  <si>
    <t>Employee_270</t>
  </si>
  <si>
    <t>2023-08-26</t>
  </si>
  <si>
    <t>EMP0271</t>
  </si>
  <si>
    <t>Employee_271</t>
  </si>
  <si>
    <t>2024-12-13</t>
  </si>
  <si>
    <t>EMP0272</t>
  </si>
  <si>
    <t>Employee_272</t>
  </si>
  <si>
    <t>2022-03-01</t>
  </si>
  <si>
    <t>EMP0273</t>
  </si>
  <si>
    <t>Employee_273</t>
  </si>
  <si>
    <t>2023-12-21</t>
  </si>
  <si>
    <t>EMP0274</t>
  </si>
  <si>
    <t>Employee_274</t>
  </si>
  <si>
    <t>EMP0275</t>
  </si>
  <si>
    <t>Employee_275</t>
  </si>
  <si>
    <t>2018-01-28</t>
  </si>
  <si>
    <t>EMP0276</t>
  </si>
  <si>
    <t>Employee_276</t>
  </si>
  <si>
    <t>2021-05-04</t>
  </si>
  <si>
    <t>EMP0277</t>
  </si>
  <si>
    <t>Employee_277</t>
  </si>
  <si>
    <t>2023-03-02</t>
  </si>
  <si>
    <t>EMP0278</t>
  </si>
  <si>
    <t>Employee_278</t>
  </si>
  <si>
    <t>2019-03-17</t>
  </si>
  <si>
    <t>EMP0279</t>
  </si>
  <si>
    <t>Employee_279</t>
  </si>
  <si>
    <t>EMP0280</t>
  </si>
  <si>
    <t>Employee_280</t>
  </si>
  <si>
    <t>2022-12-03</t>
  </si>
  <si>
    <t>EMP0281</t>
  </si>
  <si>
    <t>Employee_281</t>
  </si>
  <si>
    <t>2022-02-08</t>
  </si>
  <si>
    <t>EMP0282</t>
  </si>
  <si>
    <t>Employee_282</t>
  </si>
  <si>
    <t>EMP0283</t>
  </si>
  <si>
    <t>Employee_283</t>
  </si>
  <si>
    <t>2018-04-20</t>
  </si>
  <si>
    <t>EMP0284</t>
  </si>
  <si>
    <t>Employee_284</t>
  </si>
  <si>
    <t>2024-06-07</t>
  </si>
  <si>
    <t>EMP0285</t>
  </si>
  <si>
    <t>Employee_285</t>
  </si>
  <si>
    <t>2018-11-07</t>
  </si>
  <si>
    <t>EMP0286</t>
  </si>
  <si>
    <t>Employee_286</t>
  </si>
  <si>
    <t>EMP0287</t>
  </si>
  <si>
    <t>Employee_287</t>
  </si>
  <si>
    <t>2024-12-27</t>
  </si>
  <si>
    <t>EMP0288</t>
  </si>
  <si>
    <t>Employee_288</t>
  </si>
  <si>
    <t>2018-08-29</t>
  </si>
  <si>
    <t>EMP0289</t>
  </si>
  <si>
    <t>Employee_289</t>
  </si>
  <si>
    <t>2022-08-25</t>
  </si>
  <si>
    <t>EMP0290</t>
  </si>
  <si>
    <t>Employee_290</t>
  </si>
  <si>
    <t>EMP0291</t>
  </si>
  <si>
    <t>Employee_291</t>
  </si>
  <si>
    <t>2018-08-06</t>
  </si>
  <si>
    <t>EMP0292</t>
  </si>
  <si>
    <t>Employee_292</t>
  </si>
  <si>
    <t>2023-03-10</t>
  </si>
  <si>
    <t>EMP0293</t>
  </si>
  <si>
    <t>Employee_293</t>
  </si>
  <si>
    <t>2020-12-20</t>
  </si>
  <si>
    <t>EMP0294</t>
  </si>
  <si>
    <t>Employee_294</t>
  </si>
  <si>
    <t>2018-09-22</t>
  </si>
  <si>
    <t>EMP0295</t>
  </si>
  <si>
    <t>Employee_295</t>
  </si>
  <si>
    <t>2019-05-02</t>
  </si>
  <si>
    <t>EMP0296</t>
  </si>
  <si>
    <t>Employee_296</t>
  </si>
  <si>
    <t>2020-06-26</t>
  </si>
  <si>
    <t>EMP0297</t>
  </si>
  <si>
    <t>Employee_297</t>
  </si>
  <si>
    <t>2022-12-14</t>
  </si>
  <si>
    <t>EMP0298</t>
  </si>
  <si>
    <t>Employee_298</t>
  </si>
  <si>
    <t>2024-04-12</t>
  </si>
  <si>
    <t>EMP0299</t>
  </si>
  <si>
    <t>Employee_299</t>
  </si>
  <si>
    <t>2018-04-13</t>
  </si>
  <si>
    <t>EMP0300</t>
  </si>
  <si>
    <t>Employee_300</t>
  </si>
  <si>
    <t>2019-04-21</t>
  </si>
  <si>
    <t>EMP0301</t>
  </si>
  <si>
    <t>Employee_301</t>
  </si>
  <si>
    <t>2024-04-10</t>
  </si>
  <si>
    <t>EMP0302</t>
  </si>
  <si>
    <t>Employee_302</t>
  </si>
  <si>
    <t>2022-06-06</t>
  </si>
  <si>
    <t>EMP0303</t>
  </si>
  <si>
    <t>Employee_303</t>
  </si>
  <si>
    <t>2019-03-23</t>
  </si>
  <si>
    <t>EMP0304</t>
  </si>
  <si>
    <t>Employee_304</t>
  </si>
  <si>
    <t>2022-12-15</t>
  </si>
  <si>
    <t>EMP0305</t>
  </si>
  <si>
    <t>Employee_305</t>
  </si>
  <si>
    <t>EMP0306</t>
  </si>
  <si>
    <t>Employee_306</t>
  </si>
  <si>
    <t>2018-06-27</t>
  </si>
  <si>
    <t>EMP0307</t>
  </si>
  <si>
    <t>Employee_307</t>
  </si>
  <si>
    <t>2023-08-25</t>
  </si>
  <si>
    <t>EMP0308</t>
  </si>
  <si>
    <t>Employee_308</t>
  </si>
  <si>
    <t>2018-12-04</t>
  </si>
  <si>
    <t>EMP0309</t>
  </si>
  <si>
    <t>Employee_309</t>
  </si>
  <si>
    <t>2023-02-14</t>
  </si>
  <si>
    <t>EMP0310</t>
  </si>
  <si>
    <t>Employee_310</t>
  </si>
  <si>
    <t>2019-01-27</t>
  </si>
  <si>
    <t>2019-07-15</t>
  </si>
  <si>
    <t>EMP0311</t>
  </si>
  <si>
    <t>Employee_311</t>
  </si>
  <si>
    <t>2022-07-13</t>
  </si>
  <si>
    <t>EMP0312</t>
  </si>
  <si>
    <t>Employee_312</t>
  </si>
  <si>
    <t>2022-07-30</t>
  </si>
  <si>
    <t>2022-12-27</t>
  </si>
  <si>
    <t>EMP0313</t>
  </si>
  <si>
    <t>Employee_313</t>
  </si>
  <si>
    <t>2022-02-24</t>
  </si>
  <si>
    <t>EMP0314</t>
  </si>
  <si>
    <t>Employee_314</t>
  </si>
  <si>
    <t>2021-06-21</t>
  </si>
  <si>
    <t>EMP0315</t>
  </si>
  <si>
    <t>Employee_315</t>
  </si>
  <si>
    <t>2024-04-07</t>
  </si>
  <si>
    <t>EMP0316</t>
  </si>
  <si>
    <t>Employee_316</t>
  </si>
  <si>
    <t>EMP0317</t>
  </si>
  <si>
    <t>Employee_317</t>
  </si>
  <si>
    <t>2020-10-06</t>
  </si>
  <si>
    <t>EMP0318</t>
  </si>
  <si>
    <t>Employee_318</t>
  </si>
  <si>
    <t>2020-02-18</t>
  </si>
  <si>
    <t>EMP0319</t>
  </si>
  <si>
    <t>Employee_319</t>
  </si>
  <si>
    <t>2022-09-08</t>
  </si>
  <si>
    <t>EMP0320</t>
  </si>
  <si>
    <t>Employee_320</t>
  </si>
  <si>
    <t>2023-09-25</t>
  </si>
  <si>
    <t>EMP0321</t>
  </si>
  <si>
    <t>Employee_321</t>
  </si>
  <si>
    <t>2019-07-28</t>
  </si>
  <si>
    <t>EMP0322</t>
  </si>
  <si>
    <t>Employee_322</t>
  </si>
  <si>
    <t>2019-09-16</t>
  </si>
  <si>
    <t>EMP0323</t>
  </si>
  <si>
    <t>Employee_323</t>
  </si>
  <si>
    <t>2023-08-16</t>
  </si>
  <si>
    <t>EMP0324</t>
  </si>
  <si>
    <t>Employee_324</t>
  </si>
  <si>
    <t>2021-09-11</t>
  </si>
  <si>
    <t>EMP0325</t>
  </si>
  <si>
    <t>Employee_325</t>
  </si>
  <si>
    <t>2021-10-11</t>
  </si>
  <si>
    <t>EMP0326</t>
  </si>
  <si>
    <t>Employee_326</t>
  </si>
  <si>
    <t>2020-02-05</t>
  </si>
  <si>
    <t>EMP0327</t>
  </si>
  <si>
    <t>Employee_327</t>
  </si>
  <si>
    <t>2022-07-21</t>
  </si>
  <si>
    <t>EMP0328</t>
  </si>
  <si>
    <t>Employee_328</t>
  </si>
  <si>
    <t>2021-01-23</t>
  </si>
  <si>
    <t>EMP0329</t>
  </si>
  <si>
    <t>Employee_329</t>
  </si>
  <si>
    <t>2023-10-28</t>
  </si>
  <si>
    <t>EMP0330</t>
  </si>
  <si>
    <t>Employee_330</t>
  </si>
  <si>
    <t>EMP0331</t>
  </si>
  <si>
    <t>Employee_331</t>
  </si>
  <si>
    <t>2023-10-04</t>
  </si>
  <si>
    <t>EMP0332</t>
  </si>
  <si>
    <t>Employee_332</t>
  </si>
  <si>
    <t>2024-07-08</t>
  </si>
  <si>
    <t>EMP0333</t>
  </si>
  <si>
    <t>Employee_333</t>
  </si>
  <si>
    <t>2018-02-01</t>
  </si>
  <si>
    <t>EMP0334</t>
  </si>
  <si>
    <t>Employee_334</t>
  </si>
  <si>
    <t>EMP0335</t>
  </si>
  <si>
    <t>Employee_335</t>
  </si>
  <si>
    <t>2019-05-24</t>
  </si>
  <si>
    <t>EMP0336</t>
  </si>
  <si>
    <t>Employee_336</t>
  </si>
  <si>
    <t>2018-03-22</t>
  </si>
  <si>
    <t>EMP0337</t>
  </si>
  <si>
    <t>Employee_337</t>
  </si>
  <si>
    <t>2018-06-25</t>
  </si>
  <si>
    <t>EMP0338</t>
  </si>
  <si>
    <t>Employee_338</t>
  </si>
  <si>
    <t>2021-11-17</t>
  </si>
  <si>
    <t>EMP0339</t>
  </si>
  <si>
    <t>Employee_339</t>
  </si>
  <si>
    <t>2020-11-23</t>
  </si>
  <si>
    <t>EMP0340</t>
  </si>
  <si>
    <t>Employee_340</t>
  </si>
  <si>
    <t>2019-03-31</t>
  </si>
  <si>
    <t>EMP0341</t>
  </si>
  <si>
    <t>Employee_341</t>
  </si>
  <si>
    <t>2020-11-15</t>
  </si>
  <si>
    <t>EMP0342</t>
  </si>
  <si>
    <t>Employee_342</t>
  </si>
  <si>
    <t>2018-10-21</t>
  </si>
  <si>
    <t>EMP0343</t>
  </si>
  <si>
    <t>Employee_343</t>
  </si>
  <si>
    <t>2021-04-07</t>
  </si>
  <si>
    <t>EMP0344</t>
  </si>
  <si>
    <t>Employee_344</t>
  </si>
  <si>
    <t>2018-05-05</t>
  </si>
  <si>
    <t>EMP0345</t>
  </si>
  <si>
    <t>Employee_345</t>
  </si>
  <si>
    <t>2024-11-25</t>
  </si>
  <si>
    <t>EMP0346</t>
  </si>
  <si>
    <t>Employee_346</t>
  </si>
  <si>
    <t>EMP0347</t>
  </si>
  <si>
    <t>Employee_347</t>
  </si>
  <si>
    <t>2021-07-12</t>
  </si>
  <si>
    <t>EMP0348</t>
  </si>
  <si>
    <t>Employee_348</t>
  </si>
  <si>
    <t>2021-01-01</t>
  </si>
  <si>
    <t>EMP0349</t>
  </si>
  <si>
    <t>Employee_349</t>
  </si>
  <si>
    <t>2024-09-11</t>
  </si>
  <si>
    <t>EMP0350</t>
  </si>
  <si>
    <t>Employee_350</t>
  </si>
  <si>
    <t>2023-03-26</t>
  </si>
  <si>
    <t>EMP0351</t>
  </si>
  <si>
    <t>Employee_351</t>
  </si>
  <si>
    <t>2022-02-28</t>
  </si>
  <si>
    <t>EMP0352</t>
  </si>
  <si>
    <t>Employee_352</t>
  </si>
  <si>
    <t>2024-03-07</t>
  </si>
  <si>
    <t>EMP0353</t>
  </si>
  <si>
    <t>Employee_353</t>
  </si>
  <si>
    <t>2022-08-02</t>
  </si>
  <si>
    <t>EMP0354</t>
  </si>
  <si>
    <t>Employee_354</t>
  </si>
  <si>
    <t>EMP0355</t>
  </si>
  <si>
    <t>Employee_355</t>
  </si>
  <si>
    <t>2023-04-02</t>
  </si>
  <si>
    <t>EMP0356</t>
  </si>
  <si>
    <t>Employee_356</t>
  </si>
  <si>
    <t>2021-02-24</t>
  </si>
  <si>
    <t>EMP0357</t>
  </si>
  <si>
    <t>Employee_357</t>
  </si>
  <si>
    <t>2018-01-10</t>
  </si>
  <si>
    <t>EMP0358</t>
  </si>
  <si>
    <t>Employee_358</t>
  </si>
  <si>
    <t>2024-02-05</t>
  </si>
  <si>
    <t>EMP0359</t>
  </si>
  <si>
    <t>Employee_359</t>
  </si>
  <si>
    <t>2020-08-02</t>
  </si>
  <si>
    <t>EMP0360</t>
  </si>
  <si>
    <t>Employee_360</t>
  </si>
  <si>
    <t>2024-08-05</t>
  </si>
  <si>
    <t>EMP0361</t>
  </si>
  <si>
    <t>Employee_361</t>
  </si>
  <si>
    <t>EMP0362</t>
  </si>
  <si>
    <t>Employee_362</t>
  </si>
  <si>
    <t>2023-04-07</t>
  </si>
  <si>
    <t>EMP0363</t>
  </si>
  <si>
    <t>Employee_363</t>
  </si>
  <si>
    <t>2024-12-18</t>
  </si>
  <si>
    <t>EMP0364</t>
  </si>
  <si>
    <t>Employee_364</t>
  </si>
  <si>
    <t>2018-05-26</t>
  </si>
  <si>
    <t>EMP0365</t>
  </si>
  <si>
    <t>Employee_365</t>
  </si>
  <si>
    <t>2019-08-19</t>
  </si>
  <si>
    <t>EMP0366</t>
  </si>
  <si>
    <t>Employee_366</t>
  </si>
  <si>
    <t>2024-04-25</t>
  </si>
  <si>
    <t>EMP0367</t>
  </si>
  <si>
    <t>Employee_367</t>
  </si>
  <si>
    <t>2020-06-01</t>
  </si>
  <si>
    <t>EMP0368</t>
  </si>
  <si>
    <t>Employee_368</t>
  </si>
  <si>
    <t>2019-11-30</t>
  </si>
  <si>
    <t>EMP0369</t>
  </si>
  <si>
    <t>Employee_369</t>
  </si>
  <si>
    <t>2020-04-22</t>
  </si>
  <si>
    <t>EMP0370</t>
  </si>
  <si>
    <t>Employee_370</t>
  </si>
  <si>
    <t>2022-12-30</t>
  </si>
  <si>
    <t>EMP0371</t>
  </si>
  <si>
    <t>Employee_371</t>
  </si>
  <si>
    <t>2018-01-19</t>
  </si>
  <si>
    <t>EMP0372</t>
  </si>
  <si>
    <t>Employee_372</t>
  </si>
  <si>
    <t>2022-12-06</t>
  </si>
  <si>
    <t>EMP0373</t>
  </si>
  <si>
    <t>Employee_373</t>
  </si>
  <si>
    <t>2023-10-15</t>
  </si>
  <si>
    <t>EMP0374</t>
  </si>
  <si>
    <t>Employee_374</t>
  </si>
  <si>
    <t>2021-03-24</t>
  </si>
  <si>
    <t>EMP0375</t>
  </si>
  <si>
    <t>Employee_375</t>
  </si>
  <si>
    <t>2018-02-15</t>
  </si>
  <si>
    <t>EMP0376</t>
  </si>
  <si>
    <t>Employee_376</t>
  </si>
  <si>
    <t>2021-06-06</t>
  </si>
  <si>
    <t>EMP0377</t>
  </si>
  <si>
    <t>Employee_377</t>
  </si>
  <si>
    <t>2019-07-24</t>
  </si>
  <si>
    <t>EMP0378</t>
  </si>
  <si>
    <t>Employee_378</t>
  </si>
  <si>
    <t>2021-03-09</t>
  </si>
  <si>
    <t>EMP0379</t>
  </si>
  <si>
    <t>Employee_379</t>
  </si>
  <si>
    <t>EMP0380</t>
  </si>
  <si>
    <t>Employee_380</t>
  </si>
  <si>
    <t>2018-08-07</t>
  </si>
  <si>
    <t>EMP0381</t>
  </si>
  <si>
    <t>Employee_381</t>
  </si>
  <si>
    <t>2024-02-14</t>
  </si>
  <si>
    <t>EMP0382</t>
  </si>
  <si>
    <t>Employee_382</t>
  </si>
  <si>
    <t>2024-09-15</t>
  </si>
  <si>
    <t>EMP0383</t>
  </si>
  <si>
    <t>Employee_383</t>
  </si>
  <si>
    <t>2018-06-10</t>
  </si>
  <si>
    <t>EMP0384</t>
  </si>
  <si>
    <t>Employee_384</t>
  </si>
  <si>
    <t>2021-05-10</t>
  </si>
  <si>
    <t>EMP0385</t>
  </si>
  <si>
    <t>Employee_385</t>
  </si>
  <si>
    <t>2018-09-21</t>
  </si>
  <si>
    <t>EMP0386</t>
  </si>
  <si>
    <t>Employee_386</t>
  </si>
  <si>
    <t>2018-10-20</t>
  </si>
  <si>
    <t>EMP0387</t>
  </si>
  <si>
    <t>Employee_387</t>
  </si>
  <si>
    <t>2024-08-13</t>
  </si>
  <si>
    <t>EMP0388</t>
  </si>
  <si>
    <t>Employee_388</t>
  </si>
  <si>
    <t>2018-11-11</t>
  </si>
  <si>
    <t>2021-03-15</t>
  </si>
  <si>
    <t>EMP0389</t>
  </si>
  <si>
    <t>Employee_389</t>
  </si>
  <si>
    <t>2019-02-12</t>
  </si>
  <si>
    <t>EMP0390</t>
  </si>
  <si>
    <t>Employee_390</t>
  </si>
  <si>
    <t>2022-06-18</t>
  </si>
  <si>
    <t>EMP0391</t>
  </si>
  <si>
    <t>Employee_391</t>
  </si>
  <si>
    <t>EMP0392</t>
  </si>
  <si>
    <t>Employee_392</t>
  </si>
  <si>
    <t>EMP0393</t>
  </si>
  <si>
    <t>Employee_393</t>
  </si>
  <si>
    <t>EMP0394</t>
  </si>
  <si>
    <t>Employee_394</t>
  </si>
  <si>
    <t>2020-08-29</t>
  </si>
  <si>
    <t>EMP0395</t>
  </si>
  <si>
    <t>Employee_395</t>
  </si>
  <si>
    <t>2021-07-26</t>
  </si>
  <si>
    <t>EMP0396</t>
  </si>
  <si>
    <t>Employee_396</t>
  </si>
  <si>
    <t>2020-11-19</t>
  </si>
  <si>
    <t>EMP0397</t>
  </si>
  <si>
    <t>Employee_397</t>
  </si>
  <si>
    <t>2020-01-30</t>
  </si>
  <si>
    <t>EMP0398</t>
  </si>
  <si>
    <t>Employee_398</t>
  </si>
  <si>
    <t>2018-06-08</t>
  </si>
  <si>
    <t>EMP0399</t>
  </si>
  <si>
    <t>Employee_399</t>
  </si>
  <si>
    <t>2018-09-10</t>
  </si>
  <si>
    <t>EMP0400</t>
  </si>
  <si>
    <t>Employee_400</t>
  </si>
  <si>
    <t>2018-03-05</t>
  </si>
  <si>
    <t>EMP0401</t>
  </si>
  <si>
    <t>Employee_401</t>
  </si>
  <si>
    <t>EMP0402</t>
  </si>
  <si>
    <t>Employee_402</t>
  </si>
  <si>
    <t>2023-04-08</t>
  </si>
  <si>
    <t>EMP0403</t>
  </si>
  <si>
    <t>Employee_403</t>
  </si>
  <si>
    <t>2021-10-12</t>
  </si>
  <si>
    <t>EMP0404</t>
  </si>
  <si>
    <t>Employee_404</t>
  </si>
  <si>
    <t>2018-03-13</t>
  </si>
  <si>
    <t>EMP0405</t>
  </si>
  <si>
    <t>Employee_405</t>
  </si>
  <si>
    <t>2023-02-12</t>
  </si>
  <si>
    <t>EMP0406</t>
  </si>
  <si>
    <t>Employee_406</t>
  </si>
  <si>
    <t>2020-03-20</t>
  </si>
  <si>
    <t>EMP0407</t>
  </si>
  <si>
    <t>Employee_407</t>
  </si>
  <si>
    <t>2024-10-01</t>
  </si>
  <si>
    <t>EMP0408</t>
  </si>
  <si>
    <t>Employee_408</t>
  </si>
  <si>
    <t>2019-08-05</t>
  </si>
  <si>
    <t>EMP0409</t>
  </si>
  <si>
    <t>Employee_409</t>
  </si>
  <si>
    <t>2018-02-11</t>
  </si>
  <si>
    <t>EMP0410</t>
  </si>
  <si>
    <t>Employee_410</t>
  </si>
  <si>
    <t>2021-11-21</t>
  </si>
  <si>
    <t>EMP0411</t>
  </si>
  <si>
    <t>Employee_411</t>
  </si>
  <si>
    <t>2024-05-07</t>
  </si>
  <si>
    <t>EMP0412</t>
  </si>
  <si>
    <t>Employee_412</t>
  </si>
  <si>
    <t>2023-04-05</t>
  </si>
  <si>
    <t>EMP0413</t>
  </si>
  <si>
    <t>Employee_413</t>
  </si>
  <si>
    <t>2022-09-01</t>
  </si>
  <si>
    <t>EMP0414</t>
  </si>
  <si>
    <t>Employee_414</t>
  </si>
  <si>
    <t>2024-10-27</t>
  </si>
  <si>
    <t>EMP0415</t>
  </si>
  <si>
    <t>Employee_415</t>
  </si>
  <si>
    <t>2018-09-15</t>
  </si>
  <si>
    <t>EMP0416</t>
  </si>
  <si>
    <t>Employee_416</t>
  </si>
  <si>
    <t>2020-07-10</t>
  </si>
  <si>
    <t>EMP0417</t>
  </si>
  <si>
    <t>Employee_417</t>
  </si>
  <si>
    <t>2018-01-09</t>
  </si>
  <si>
    <t>EMP0418</t>
  </si>
  <si>
    <t>Employee_418</t>
  </si>
  <si>
    <t>2022-04-29</t>
  </si>
  <si>
    <t>EMP0419</t>
  </si>
  <si>
    <t>Employee_419</t>
  </si>
  <si>
    <t>EMP0420</t>
  </si>
  <si>
    <t>Employee_420</t>
  </si>
  <si>
    <t>2020-06-22</t>
  </si>
  <si>
    <t>EMP0421</t>
  </si>
  <si>
    <t>Employee_421</t>
  </si>
  <si>
    <t>2023-08-03</t>
  </si>
  <si>
    <t>EMP0422</t>
  </si>
  <si>
    <t>Employee_422</t>
  </si>
  <si>
    <t>EMP0423</t>
  </si>
  <si>
    <t>Employee_423</t>
  </si>
  <si>
    <t>2022-07-10</t>
  </si>
  <si>
    <t>EMP0424</t>
  </si>
  <si>
    <t>Employee_424</t>
  </si>
  <si>
    <t>2018-09-23</t>
  </si>
  <si>
    <t>EMP0425</t>
  </si>
  <si>
    <t>Employee_425</t>
  </si>
  <si>
    <t>2018-04-01</t>
  </si>
  <si>
    <t>EMP0426</t>
  </si>
  <si>
    <t>Employee_426</t>
  </si>
  <si>
    <t>2023-11-25</t>
  </si>
  <si>
    <t>EMP0427</t>
  </si>
  <si>
    <t>Employee_427</t>
  </si>
  <si>
    <t>2023-10-03</t>
  </si>
  <si>
    <t>EMP0428</t>
  </si>
  <si>
    <t>Employee_428</t>
  </si>
  <si>
    <t>2020-10-11</t>
  </si>
  <si>
    <t>EMP0429</t>
  </si>
  <si>
    <t>Employee_429</t>
  </si>
  <si>
    <t>EMP0430</t>
  </si>
  <si>
    <t>Employee_430</t>
  </si>
  <si>
    <t>EMP0431</t>
  </si>
  <si>
    <t>Employee_431</t>
  </si>
  <si>
    <t>2021-10-03</t>
  </si>
  <si>
    <t>EMP0432</t>
  </si>
  <si>
    <t>Employee_432</t>
  </si>
  <si>
    <t>2024-07-20</t>
  </si>
  <si>
    <t>EMP0433</t>
  </si>
  <si>
    <t>Employee_433</t>
  </si>
  <si>
    <t>2020-01-02</t>
  </si>
  <si>
    <t>EMP0434</t>
  </si>
  <si>
    <t>Employee_434</t>
  </si>
  <si>
    <t>2020-05-26</t>
  </si>
  <si>
    <t>EMP0435</t>
  </si>
  <si>
    <t>Employee_435</t>
  </si>
  <si>
    <t>2019-02-04</t>
  </si>
  <si>
    <t>EMP0436</t>
  </si>
  <si>
    <t>Employee_436</t>
  </si>
  <si>
    <t>2020-03-14</t>
  </si>
  <si>
    <t>EMP0437</t>
  </si>
  <si>
    <t>Employee_437</t>
  </si>
  <si>
    <t>2023-05-20</t>
  </si>
  <si>
    <t>EMP0438</t>
  </si>
  <si>
    <t>Employee_438</t>
  </si>
  <si>
    <t>EMP0439</t>
  </si>
  <si>
    <t>Employee_439</t>
  </si>
  <si>
    <t>2023-06-22</t>
  </si>
  <si>
    <t>EMP0440</t>
  </si>
  <si>
    <t>Employee_440</t>
  </si>
  <si>
    <t>2018-07-18</t>
  </si>
  <si>
    <t>EMP0441</t>
  </si>
  <si>
    <t>Employee_441</t>
  </si>
  <si>
    <t>2022-09-09</t>
  </si>
  <si>
    <t>EMP0442</t>
  </si>
  <si>
    <t>Employee_442</t>
  </si>
  <si>
    <t>2023-01-27</t>
  </si>
  <si>
    <t>EMP0443</t>
  </si>
  <si>
    <t>Employee_443</t>
  </si>
  <si>
    <t>2020-04-30</t>
  </si>
  <si>
    <t>EMP0444</t>
  </si>
  <si>
    <t>Employee_444</t>
  </si>
  <si>
    <t>2022-05-29</t>
  </si>
  <si>
    <t>EMP0445</t>
  </si>
  <si>
    <t>Employee_445</t>
  </si>
  <si>
    <t>2023-04-01</t>
  </si>
  <si>
    <t>EMP0446</t>
  </si>
  <si>
    <t>Employee_446</t>
  </si>
  <si>
    <t>2022-03-30</t>
  </si>
  <si>
    <t>EMP0447</t>
  </si>
  <si>
    <t>Employee_447</t>
  </si>
  <si>
    <t>EMP0448</t>
  </si>
  <si>
    <t>Employee_448</t>
  </si>
  <si>
    <t>2018-08-08</t>
  </si>
  <si>
    <t>EMP0449</t>
  </si>
  <si>
    <t>Employee_449</t>
  </si>
  <si>
    <t>2023-10-31</t>
  </si>
  <si>
    <t>EMP0450</t>
  </si>
  <si>
    <t>Employee_450</t>
  </si>
  <si>
    <t>2023-05-17</t>
  </si>
  <si>
    <t>EMP0451</t>
  </si>
  <si>
    <t>Employee_451</t>
  </si>
  <si>
    <t>2018-05-13</t>
  </si>
  <si>
    <t>EMP0452</t>
  </si>
  <si>
    <t>Employee_452</t>
  </si>
  <si>
    <t>2019-04-10</t>
  </si>
  <si>
    <t>EMP0453</t>
  </si>
  <si>
    <t>Employee_453</t>
  </si>
  <si>
    <t>2019-07-19</t>
  </si>
  <si>
    <t>EMP0454</t>
  </si>
  <si>
    <t>Employee_454</t>
  </si>
  <si>
    <t>2020-05-31</t>
  </si>
  <si>
    <t>EMP0455</t>
  </si>
  <si>
    <t>Employee_455</t>
  </si>
  <si>
    <t>2022-04-19</t>
  </si>
  <si>
    <t>EMP0456</t>
  </si>
  <si>
    <t>Employee_456</t>
  </si>
  <si>
    <t>2022-03-27</t>
  </si>
  <si>
    <t>EMP0457</t>
  </si>
  <si>
    <t>Employee_457</t>
  </si>
  <si>
    <t>EMP0458</t>
  </si>
  <si>
    <t>Employee_458</t>
  </si>
  <si>
    <t>2020-07-28</t>
  </si>
  <si>
    <t>EMP0459</t>
  </si>
  <si>
    <t>Employee_459</t>
  </si>
  <si>
    <t>2021-06-05</t>
  </si>
  <si>
    <t>EMP0460</t>
  </si>
  <si>
    <t>Employee_460</t>
  </si>
  <si>
    <t>2018-03-31</t>
  </si>
  <si>
    <t>EMP0461</t>
  </si>
  <si>
    <t>Employee_461</t>
  </si>
  <si>
    <t>2020-08-22</t>
  </si>
  <si>
    <t>EMP0462</t>
  </si>
  <si>
    <t>Employee_462</t>
  </si>
  <si>
    <t>EMP0463</t>
  </si>
  <si>
    <t>Employee_463</t>
  </si>
  <si>
    <t>EMP0464</t>
  </si>
  <si>
    <t>Employee_464</t>
  </si>
  <si>
    <t>EMP0465</t>
  </si>
  <si>
    <t>Employee_465</t>
  </si>
  <si>
    <t>2024-06-20</t>
  </si>
  <si>
    <t>EMP0466</t>
  </si>
  <si>
    <t>Employee_466</t>
  </si>
  <si>
    <t>EMP0467</t>
  </si>
  <si>
    <t>Employee_467</t>
  </si>
  <si>
    <t>2022-03-21</t>
  </si>
  <si>
    <t>EMP0468</t>
  </si>
  <si>
    <t>Employee_468</t>
  </si>
  <si>
    <t>EMP0469</t>
  </si>
  <si>
    <t>Employee_469</t>
  </si>
  <si>
    <t>EMP0470</t>
  </si>
  <si>
    <t>Employee_470</t>
  </si>
  <si>
    <t>2024-05-16</t>
  </si>
  <si>
    <t>EMP0471</t>
  </si>
  <si>
    <t>Employee_471</t>
  </si>
  <si>
    <t>EMP0472</t>
  </si>
  <si>
    <t>Employee_472</t>
  </si>
  <si>
    <t>EMP0473</t>
  </si>
  <si>
    <t>Employee_473</t>
  </si>
  <si>
    <t>EMP0474</t>
  </si>
  <si>
    <t>Employee_474</t>
  </si>
  <si>
    <t>2023-11-18</t>
  </si>
  <si>
    <t>EMP0475</t>
  </si>
  <si>
    <t>Employee_475</t>
  </si>
  <si>
    <t>EMP0476</t>
  </si>
  <si>
    <t>Employee_476</t>
  </si>
  <si>
    <t>EMP0477</t>
  </si>
  <si>
    <t>Employee_477</t>
  </si>
  <si>
    <t>EMP0478</t>
  </si>
  <si>
    <t>Employee_478</t>
  </si>
  <si>
    <t>2018-02-13</t>
  </si>
  <si>
    <t>EMP0479</t>
  </si>
  <si>
    <t>Employee_479</t>
  </si>
  <si>
    <t>EMP0480</t>
  </si>
  <si>
    <t>Employee_480</t>
  </si>
  <si>
    <t>2019-02-17</t>
  </si>
  <si>
    <t>EMP0481</t>
  </si>
  <si>
    <t>Employee_481</t>
  </si>
  <si>
    <t>2018-04-03</t>
  </si>
  <si>
    <t>EMP0482</t>
  </si>
  <si>
    <t>Employee_482</t>
  </si>
  <si>
    <t>2024-04-05</t>
  </si>
  <si>
    <t>EMP0483</t>
  </si>
  <si>
    <t>Employee_483</t>
  </si>
  <si>
    <t>2020-11-29</t>
  </si>
  <si>
    <t>EMP0484</t>
  </si>
  <si>
    <t>Employee_484</t>
  </si>
  <si>
    <t>2023-02-05</t>
  </si>
  <si>
    <t>EMP0485</t>
  </si>
  <si>
    <t>Employee_485</t>
  </si>
  <si>
    <t>2021-08-06</t>
  </si>
  <si>
    <t>EMP0486</t>
  </si>
  <si>
    <t>Employee_486</t>
  </si>
  <si>
    <t>2024-01-11</t>
  </si>
  <si>
    <t>EMP0487</t>
  </si>
  <si>
    <t>Employee_487</t>
  </si>
  <si>
    <t>2024-03-31</t>
  </si>
  <si>
    <t>EMP0488</t>
  </si>
  <si>
    <t>Employee_488</t>
  </si>
  <si>
    <t>2021-05-17</t>
  </si>
  <si>
    <t>EMP0489</t>
  </si>
  <si>
    <t>Employee_489</t>
  </si>
  <si>
    <t>2022-05-09</t>
  </si>
  <si>
    <t>EMP0490</t>
  </si>
  <si>
    <t>Employee_490</t>
  </si>
  <si>
    <t>EMP0491</t>
  </si>
  <si>
    <t>Employee_491</t>
  </si>
  <si>
    <t>2020-05-07</t>
  </si>
  <si>
    <t>EMP0492</t>
  </si>
  <si>
    <t>Employee_492</t>
  </si>
  <si>
    <t>2018-04-10</t>
  </si>
  <si>
    <t>EMP0493</t>
  </si>
  <si>
    <t>Employee_493</t>
  </si>
  <si>
    <t>2018-06-23</t>
  </si>
  <si>
    <t>EMP0494</t>
  </si>
  <si>
    <t>Employee_494</t>
  </si>
  <si>
    <t>2023-03-25</t>
  </si>
  <si>
    <t>EMP0495</t>
  </si>
  <si>
    <t>Employee_495</t>
  </si>
  <si>
    <t>EMP0496</t>
  </si>
  <si>
    <t>Employee_496</t>
  </si>
  <si>
    <t>2018-06-03</t>
  </si>
  <si>
    <t>EMP0497</t>
  </si>
  <si>
    <t>Employee_497</t>
  </si>
  <si>
    <t>2022-08-23</t>
  </si>
  <si>
    <t>EMP0498</t>
  </si>
  <si>
    <t>Employee_498</t>
  </si>
  <si>
    <t>EMP0499</t>
  </si>
  <si>
    <t>Employee_499</t>
  </si>
  <si>
    <t>EMP0500</t>
  </si>
  <si>
    <t>Employee_500</t>
  </si>
  <si>
    <t>2018-01-23</t>
  </si>
  <si>
    <t>Joining Month</t>
  </si>
  <si>
    <t>Year</t>
  </si>
  <si>
    <t>Attration Flag</t>
  </si>
  <si>
    <t>Row Labels</t>
  </si>
  <si>
    <t>Grand Total</t>
  </si>
  <si>
    <t>Jan</t>
  </si>
  <si>
    <t>Feb</t>
  </si>
  <si>
    <t>Mar</t>
  </si>
  <si>
    <t>Apr</t>
  </si>
  <si>
    <t>May</t>
  </si>
  <si>
    <t>Jun</t>
  </si>
  <si>
    <t>Jul</t>
  </si>
  <si>
    <t>Aug</t>
  </si>
  <si>
    <t>Sep</t>
  </si>
  <si>
    <t>Oct</t>
  </si>
  <si>
    <t>Nov</t>
  </si>
  <si>
    <t>Dec</t>
  </si>
  <si>
    <t>Sum of Attration Flag</t>
  </si>
  <si>
    <t>Attration by Department</t>
  </si>
  <si>
    <t>Headcount by Department</t>
  </si>
  <si>
    <t>Count of Employee_ID</t>
  </si>
  <si>
    <t xml:space="preserve">Candidates Resigned </t>
  </si>
  <si>
    <t>Working</t>
  </si>
  <si>
    <t>Currently Working</t>
  </si>
  <si>
    <t>Performance Distribution</t>
  </si>
  <si>
    <t>MAX</t>
  </si>
  <si>
    <t>MIN</t>
  </si>
  <si>
    <t>MID</t>
  </si>
  <si>
    <t>low</t>
  </si>
  <si>
    <t>Average</t>
  </si>
  <si>
    <t>&gt;75</t>
  </si>
  <si>
    <t>High</t>
  </si>
  <si>
    <t>0-40</t>
  </si>
  <si>
    <t>41-75</t>
  </si>
  <si>
    <t>Low</t>
  </si>
  <si>
    <t>Count of Performance Distribution</t>
  </si>
  <si>
    <t>Column Labels</t>
  </si>
  <si>
    <t>Performance vs Attrition</t>
  </si>
  <si>
    <t>Department + Performance</t>
  </si>
  <si>
    <t>Total Employees</t>
  </si>
  <si>
    <t>Attration %</t>
  </si>
  <si>
    <t>Average Salary</t>
  </si>
  <si>
    <t>Average Attendance</t>
  </si>
  <si>
    <t>Count of Monthly Resignation</t>
  </si>
  <si>
    <t>Average of Attendance_%</t>
  </si>
  <si>
    <t>Active Employees by Joining Month</t>
  </si>
  <si>
    <t>Average of Attration Flag</t>
  </si>
  <si>
    <t>Attration % by Department</t>
  </si>
  <si>
    <t>Attration</t>
  </si>
  <si>
    <t>Total Employees by dept</t>
  </si>
  <si>
    <t>Highest Attration dept</t>
  </si>
  <si>
    <t>Resigned</t>
  </si>
  <si>
    <t>Joined</t>
  </si>
  <si>
    <t>Attreation %</t>
  </si>
  <si>
    <t>Average Attration across all departments</t>
  </si>
  <si>
    <t>highest attrition</t>
  </si>
  <si>
    <t>highest attrition month</t>
  </si>
  <si>
    <t>Attration Contribution by performance</t>
  </si>
  <si>
    <t>Value</t>
  </si>
  <si>
    <t>Key Insights</t>
  </si>
  <si>
    <t>Average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</si>
</sst>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2" fontId="0" fillId="0" borderId="0" xfId="0" applyNumberFormat="1"/>
    <xf numFmtId="0" fontId="0" fillId="0" borderId="1" xfId="0" applyBorder="1" applyAlignment="1">
      <alignment horizontal="left"/>
    </xf>
    <xf numFmtId="0" fontId="0" fillId="0" borderId="1" xfId="0" applyBorder="1"/>
    <xf numFmtId="10" fontId="0" fillId="0" borderId="1" xfId="0" applyNumberFormat="1" applyBorder="1"/>
    <xf numFmtId="0" fontId="1" fillId="0" borderId="1" xfId="0" applyFont="1" applyBorder="1"/>
    <xf numFmtId="164" fontId="0" fillId="0" borderId="1" xfId="0" applyNumberFormat="1" applyBorder="1"/>
    <xf numFmtId="2" fontId="0" fillId="0" borderId="1" xfId="0" applyNumberFormat="1" applyBorder="1"/>
    <xf numFmtId="0" fontId="0" fillId="0" borderId="0" xfId="0" applyAlignment="1">
      <alignment horizontal="center"/>
    </xf>
    <xf numFmtId="0" fontId="0" fillId="0" borderId="1" xfId="0" applyBorder="1" applyAlignment="1">
      <alignment horizontal="center"/>
    </xf>
    <xf numFmtId="0" fontId="0" fillId="0" borderId="0" xfId="0" applyNumberFormat="1"/>
  </cellXfs>
  <cellStyles count="1">
    <cellStyle name="Normal" xfId="0" builtinId="0"/>
  </cellStyles>
  <dxfs count="14">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[HR_MIS_500_rows.xlsx]Findings!PivotTable5</c:name>
    <c:fmtId val="29"/>
  </c:pivotSource>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r>
              <a:rPr lang="en-US"/>
              <a:t>Attration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
          <c:idx val="0"/>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F81BD"/>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Findings!$B$24</c:f>
              <c:strCache>
                <c:ptCount val="1"/>
                <c:pt idx="0">
                  <c:v>Total</c:v>
                </c:pt>
              </c:strCache>
            </c:strRef>
          </c:tx>
          <c:spPr>
            <a:ln w="25400" cap="rnd" cmpd="sng">
              <a:solidFill>
                <a:schemeClr val="tx1"/>
              </a:solidFill>
              <a:round/>
            </a:ln>
            <a:effectLst>
              <a:outerShdw dist="25400" dir="2700000" algn="tl" rotWithShape="0">
                <a:schemeClr val="accent1"/>
              </a:outerShdw>
            </a:effectLst>
          </c:spPr>
          <c:marker>
            <c:symbol val="circle"/>
            <c:size val="14"/>
            <c:spPr>
              <a:solidFill>
                <a:schemeClr val="tx1"/>
              </a:solidFill>
              <a:ln>
                <a:solidFill>
                  <a:schemeClr val="tx1"/>
                </a:solidFill>
              </a:ln>
              <a:effectLst/>
            </c:spPr>
          </c:marker>
          <c:dLbls>
            <c:spPr>
              <a:solidFill>
                <a:srgbClr val="4F81BD"/>
              </a:solid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Findings!$A$25:$A$37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Findings!$B$25:$B$37</c:f>
              <c:numCache>
                <c:formatCode>General</c:formatCode>
                <c:ptCount val="12"/>
                <c:pt idx="0">
                  <c:v>19</c:v>
                </c:pt>
                <c:pt idx="1">
                  <c:v>18</c:v>
                </c:pt>
                <c:pt idx="2">
                  <c:v>25</c:v>
                </c:pt>
                <c:pt idx="3">
                  <c:v>19</c:v>
                </c:pt>
                <c:pt idx="4">
                  <c:v>24</c:v>
                </c:pt>
                <c:pt idx="5">
                  <c:v>28</c:v>
                </c:pt>
                <c:pt idx="6">
                  <c:v>23</c:v>
                </c:pt>
                <c:pt idx="7">
                  <c:v>15</c:v>
                </c:pt>
                <c:pt idx="8">
                  <c:v>21</c:v>
                </c:pt>
                <c:pt idx="9">
                  <c:v>18</c:v>
                </c:pt>
                <c:pt idx="10">
                  <c:v>21</c:v>
                </c:pt>
                <c:pt idx="11">
                  <c:v>22</c:v>
                </c:pt>
              </c:numCache>
            </c:numRef>
          </c:val>
          <c:smooth val="0"/>
          <c:extLst>
            <c:ext xmlns:c16="http://schemas.microsoft.com/office/drawing/2014/chart" uri="{C3380CC4-5D6E-409C-BE32-E72D297353CC}">
              <c16:uniqueId val="{00000000-D20B-4191-9A36-D2AACB5935C9}"/>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62470000"/>
        <c:axId val="862473840"/>
      </c:lineChart>
      <c:catAx>
        <c:axId val="862470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ysClr val="windowText" lastClr="000000"/>
                </a:solidFill>
                <a:latin typeface="+mn-lt"/>
                <a:ea typeface="+mn-ea"/>
                <a:cs typeface="+mn-cs"/>
              </a:defRPr>
            </a:pPr>
            <a:endParaRPr lang="en-US"/>
          </a:p>
        </c:txPr>
        <c:crossAx val="862473840"/>
        <c:crosses val="autoZero"/>
        <c:auto val="1"/>
        <c:lblAlgn val="ctr"/>
        <c:lblOffset val="100"/>
        <c:noMultiLvlLbl val="0"/>
      </c:catAx>
      <c:valAx>
        <c:axId val="862473840"/>
        <c:scaling>
          <c:orientation val="minMax"/>
        </c:scaling>
        <c:delete val="1"/>
        <c:axPos val="l"/>
        <c:numFmt formatCode="General" sourceLinked="1"/>
        <c:majorTickMark val="none"/>
        <c:minorTickMark val="none"/>
        <c:tickLblPos val="nextTo"/>
        <c:crossAx val="86247000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Joined</a:t>
            </a:r>
            <a:r>
              <a:rPr lang="en-IN" baseline="0">
                <a:solidFill>
                  <a:schemeClr val="tx1"/>
                </a:solidFill>
              </a:rPr>
              <a:t> VS Resigned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Findings!$B$40</c:f>
              <c:strCache>
                <c:ptCount val="1"/>
                <c:pt idx="0">
                  <c:v>Joined</c:v>
                </c:pt>
              </c:strCache>
            </c:strRef>
          </c:tx>
          <c:spPr>
            <a:solidFill>
              <a:schemeClr val="accent1"/>
            </a:solidFill>
            <a:ln>
              <a:noFill/>
            </a:ln>
            <a:effectLst/>
          </c:spPr>
          <c:invertIfNegative val="0"/>
          <c:cat>
            <c:strRef>
              <c:f>Findings!$A$41:$A$53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Findings!$B$41:$B$53</c:f>
              <c:numCache>
                <c:formatCode>General</c:formatCode>
                <c:ptCount val="12"/>
                <c:pt idx="0">
                  <c:v>16</c:v>
                </c:pt>
                <c:pt idx="1">
                  <c:v>21</c:v>
                </c:pt>
                <c:pt idx="2">
                  <c:v>18</c:v>
                </c:pt>
                <c:pt idx="3">
                  <c:v>23</c:v>
                </c:pt>
                <c:pt idx="4">
                  <c:v>14</c:v>
                </c:pt>
                <c:pt idx="5">
                  <c:v>20</c:v>
                </c:pt>
                <c:pt idx="6">
                  <c:v>32</c:v>
                </c:pt>
                <c:pt idx="7">
                  <c:v>24</c:v>
                </c:pt>
                <c:pt idx="8">
                  <c:v>28</c:v>
                </c:pt>
                <c:pt idx="9">
                  <c:v>17</c:v>
                </c:pt>
                <c:pt idx="10">
                  <c:v>19</c:v>
                </c:pt>
                <c:pt idx="11">
                  <c:v>15</c:v>
                </c:pt>
              </c:numCache>
            </c:numRef>
          </c:val>
          <c:extLst>
            <c:ext xmlns:c16="http://schemas.microsoft.com/office/drawing/2014/chart" uri="{C3380CC4-5D6E-409C-BE32-E72D297353CC}">
              <c16:uniqueId val="{00000000-D9E8-45B3-A4CC-574A2FCADFB7}"/>
            </c:ext>
          </c:extLst>
        </c:ser>
        <c:ser>
          <c:idx val="1"/>
          <c:order val="1"/>
          <c:tx>
            <c:strRef>
              <c:f>Findings!$C$40</c:f>
              <c:strCache>
                <c:ptCount val="1"/>
                <c:pt idx="0">
                  <c:v>Resigned</c:v>
                </c:pt>
              </c:strCache>
            </c:strRef>
          </c:tx>
          <c:spPr>
            <a:solidFill>
              <a:schemeClr val="accent2"/>
            </a:solidFill>
            <a:ln>
              <a:noFill/>
            </a:ln>
            <a:effectLst/>
          </c:spPr>
          <c:invertIfNegative val="0"/>
          <c:cat>
            <c:strRef>
              <c:f>Findings!$A$41:$A$53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Findings!$C$41:$C$53</c:f>
              <c:numCache>
                <c:formatCode>General</c:formatCode>
                <c:ptCount val="12"/>
                <c:pt idx="0">
                  <c:v>19</c:v>
                </c:pt>
                <c:pt idx="1">
                  <c:v>18</c:v>
                </c:pt>
                <c:pt idx="2">
                  <c:v>25</c:v>
                </c:pt>
                <c:pt idx="3">
                  <c:v>19</c:v>
                </c:pt>
                <c:pt idx="4">
                  <c:v>24</c:v>
                </c:pt>
                <c:pt idx="5">
                  <c:v>28</c:v>
                </c:pt>
                <c:pt idx="6">
                  <c:v>23</c:v>
                </c:pt>
                <c:pt idx="7">
                  <c:v>15</c:v>
                </c:pt>
                <c:pt idx="8">
                  <c:v>21</c:v>
                </c:pt>
                <c:pt idx="9">
                  <c:v>18</c:v>
                </c:pt>
                <c:pt idx="10">
                  <c:v>21</c:v>
                </c:pt>
                <c:pt idx="11">
                  <c:v>22</c:v>
                </c:pt>
              </c:numCache>
            </c:numRef>
          </c:val>
          <c:extLst>
            <c:ext xmlns:c16="http://schemas.microsoft.com/office/drawing/2014/chart" uri="{C3380CC4-5D6E-409C-BE32-E72D297353CC}">
              <c16:uniqueId val="{00000001-D9E8-45B3-A4CC-574A2FCADFB7}"/>
            </c:ext>
          </c:extLst>
        </c:ser>
        <c:dLbls>
          <c:showLegendKey val="0"/>
          <c:showVal val="0"/>
          <c:showCatName val="0"/>
          <c:showSerName val="0"/>
          <c:showPercent val="0"/>
          <c:showBubbleSize val="0"/>
        </c:dLbls>
        <c:gapWidth val="219"/>
        <c:overlap val="-27"/>
        <c:axId val="862561680"/>
        <c:axId val="862556880"/>
      </c:barChart>
      <c:catAx>
        <c:axId val="86256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56880"/>
        <c:crosses val="autoZero"/>
        <c:auto val="1"/>
        <c:lblAlgn val="ctr"/>
        <c:lblOffset val="100"/>
        <c:noMultiLvlLbl val="0"/>
      </c:catAx>
      <c:valAx>
        <c:axId val="862556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6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[HR_MIS_500_rows.xlsx]Findings!PivotTable7</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lumMod val="65000"/>
                    <a:lumOff val="35000"/>
                  </a:sysClr>
                </a:solidFill>
                <a:latin typeface="+mn-lt"/>
                <a:ea typeface="+mn-ea"/>
                <a:cs typeface="+mn-cs"/>
              </a:defRPr>
            </a:pPr>
            <a:r>
              <a:rPr lang="en-IN" sz="1200" b="0" i="0" u="none" strike="noStrike" baseline="0">
                <a:solidFill>
                  <a:sysClr val="windowText" lastClr="000000">
                    <a:lumMod val="65000"/>
                    <a:lumOff val="35000"/>
                  </a:sysClr>
                </a:solidFill>
              </a:rPr>
              <a:t>Performance Distribution </a:t>
            </a:r>
            <a:endParaRPr lang="en-IN" sz="1200">
              <a:solidFill>
                <a:sysClr val="windowText" lastClr="000000">
                  <a:lumMod val="65000"/>
                  <a:lumOff val="35000"/>
                </a:sysClr>
              </a:solidFill>
            </a:endParaRP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s>
    <c:plotArea>
      <c:layout/>
      <c:pieChart>
        <c:varyColors val="1"/>
        <c:ser>
          <c:idx val="0"/>
          <c:order val="0"/>
          <c:tx>
            <c:strRef>
              <c:f>Findings!$B$56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B6DC-49E9-8CBA-64AFED13FC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B6DC-49E9-8CBA-64AFED13FC4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Findings!$A$57:$A$59</c:f>
              <c:strCache>
                <c:ptCount val="2"/>
                <c:pt idx="0">
                  <c:v>High</c:v>
                </c:pt>
                <c:pt idx="1">
                  <c:v>Low</c:v>
                </c:pt>
              </c:strCache>
            </c:strRef>
          </c:cat>
          <c:val>
            <c:numRef>
              <c:f>Findings!$B$57:$B$59</c:f>
              <c:numCache>
                <c:formatCode>General</c:formatCode>
                <c:ptCount val="2"/>
                <c:pt idx="0">
                  <c:v>165</c:v>
                </c:pt>
                <c:pt idx="1">
                  <c:v>335</c:v>
                </c:pt>
              </c:numCache>
            </c:numRef>
          </c:val>
          <c:extLst>
            <c:ext xmlns:c16="http://schemas.microsoft.com/office/drawing/2014/chart" uri="{C3380CC4-5D6E-409C-BE32-E72D297353CC}">
              <c16:uniqueId val="{0000000A-B6DC-49E9-8CBA-64AFED13FC4C}"/>
            </c:ext>
          </c:extLst>
        </c:ser>
        <c:dLbls>
          <c:dLblPos val="ctr"/>
          <c:showLegendKey val="0"/>
          <c:showVal val="1"/>
          <c:showCatName val="0"/>
          <c:showSerName val="0"/>
          <c:showPercent val="0"/>
          <c:showBubbleSize val="0"/>
          <c:showLeaderLines val="1"/>
        </c:dLbls>
        <c:firstSliceAng val="0"/>
      </c:pieChart>
    </c:plotArea>
    <c:legend>
      <c:legendPos val="r"/>
      <c:layout>
        <c:manualLayout>
          <c:xMode val="edge"/>
          <c:yMode val="edge"/>
          <c:x val="0.6129515471750242"/>
          <c:y val="0.50460599401818962"/>
          <c:w val="0.33340369871529218"/>
          <c:h val="0.3228969053286943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vs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E3D088-798E-4E85-A320-36765102F00F}"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5770F6-4F19-4957-95AC-131B091A29D6}"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E3D088-798E-4E85-A320-36765102F00F}"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5770F6-4F19-4957-95AC-131B091A29D6}" type="VALUE">
                  <a:rPr lang="en-US"/>
                  <a:pPr>
                    <a:defRPr sz="900" b="0" i="0" u="none" strike="noStrike" kern="1200" baseline="0">
                      <a:solidFill>
                        <a:schemeClr val="tx1">
                          <a:lumMod val="75000"/>
                          <a:lumOff val="25000"/>
                        </a:schemeClr>
                      </a:solidFill>
                      <a:latin typeface="+mn-lt"/>
                      <a:ea typeface="+mn-ea"/>
                      <a:cs typeface="+mn-cs"/>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4E3D088-798E-4E85-A320-36765102F00F}" type="VALUE">
                  <a:rPr lang="en-US"/>
                  <a:pPr>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5770F6-4F19-4957-95AC-131B091A29D6}" type="VALUE">
                  <a:rPr lang="en-US"/>
                  <a:pPr>
                    <a:defRPr/>
                  </a:pPr>
                  <a:t>[VALUE]</a:t>
                </a:fld>
                <a:r>
                  <a:rPr lang="en-US"/>
                  <a:t> Exits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Findings!$B$62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732-4F9D-A516-E0D839F0560C}"/>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732-4F9D-A516-E0D839F0560C}"/>
              </c:ext>
            </c:extLst>
          </c:dPt>
          <c:dLbls>
            <c:dLbl>
              <c:idx val="0"/>
              <c:tx>
                <c:rich>
                  <a:bodyPr/>
                  <a:lstStyle/>
                  <a:p>
                    <a:fld id="{44E3D088-798E-4E85-A320-36765102F00F}" type="VALUE">
                      <a:rPr lang="en-US"/>
                      <a:pPr/>
                      <a:t>[VALUE]</a:t>
                    </a:fld>
                    <a:r>
                      <a:rPr lang="en-US"/>
                      <a:t> Exits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732-4F9D-A516-E0D839F0560C}"/>
                </c:ext>
              </c:extLst>
            </c:dLbl>
            <c:dLbl>
              <c:idx val="1"/>
              <c:tx>
                <c:rich>
                  <a:bodyPr/>
                  <a:lstStyle/>
                  <a:p>
                    <a:fld id="{545770F6-4F19-4957-95AC-131B091A29D6}" type="VALUE">
                      <a:rPr lang="en-US"/>
                      <a:pPr/>
                      <a:t>[VALUE]</a:t>
                    </a:fld>
                    <a:r>
                      <a:rPr lang="en-US"/>
                      <a:t> Exits</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732-4F9D-A516-E0D839F05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Findings!$A$63:$A$65</c:f>
              <c:strCache>
                <c:ptCount val="2"/>
                <c:pt idx="0">
                  <c:v>High</c:v>
                </c:pt>
                <c:pt idx="1">
                  <c:v>Low</c:v>
                </c:pt>
              </c:strCache>
            </c:strRef>
          </c:cat>
          <c:val>
            <c:numRef>
              <c:f>Findings!$B$63:$B$65</c:f>
              <c:numCache>
                <c:formatCode>General</c:formatCode>
                <c:ptCount val="2"/>
                <c:pt idx="0">
                  <c:v>89</c:v>
                </c:pt>
                <c:pt idx="1">
                  <c:v>164</c:v>
                </c:pt>
              </c:numCache>
            </c:numRef>
          </c:val>
          <c:extLst>
            <c:ext xmlns:c16="http://schemas.microsoft.com/office/drawing/2014/chart" uri="{C3380CC4-5D6E-409C-BE32-E72D297353CC}">
              <c16:uniqueId val="{00000002-4732-4F9D-A516-E0D839F0560C}"/>
            </c:ext>
          </c:extLst>
        </c:ser>
        <c:dLbls>
          <c:dLblPos val="outEnd"/>
          <c:showLegendKey val="0"/>
          <c:showVal val="1"/>
          <c:showCatName val="0"/>
          <c:showSerName val="0"/>
          <c:showPercent val="0"/>
          <c:showBubbleSize val="0"/>
        </c:dLbls>
        <c:gapWidth val="219"/>
        <c:overlap val="-27"/>
        <c:axId val="862566000"/>
        <c:axId val="862555920"/>
      </c:barChart>
      <c:catAx>
        <c:axId val="86256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55920"/>
        <c:crosses val="autoZero"/>
        <c:auto val="1"/>
        <c:lblAlgn val="ctr"/>
        <c:lblOffset val="100"/>
        <c:noMultiLvlLbl val="0"/>
      </c:catAx>
      <c:valAx>
        <c:axId val="86255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Head</a:t>
            </a:r>
            <a:r>
              <a:rPr lang="en-US" baseline="0"/>
              <a:t> 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Findings!$A$16:$A$21</c:f>
              <c:strCache>
                <c:ptCount val="5"/>
                <c:pt idx="0">
                  <c:v>Finance</c:v>
                </c:pt>
                <c:pt idx="1">
                  <c:v>HR</c:v>
                </c:pt>
                <c:pt idx="2">
                  <c:v>IT</c:v>
                </c:pt>
                <c:pt idx="3">
                  <c:v>Operations</c:v>
                </c:pt>
                <c:pt idx="4">
                  <c:v>Sales</c:v>
                </c:pt>
              </c:strCache>
            </c:strRef>
          </c:cat>
          <c:val>
            <c:numRef>
              <c:f>Findings!$B$16:$B$21</c:f>
              <c:numCache>
                <c:formatCode>General</c:formatCode>
                <c:ptCount val="5"/>
                <c:pt idx="0">
                  <c:v>36</c:v>
                </c:pt>
                <c:pt idx="1">
                  <c:v>61</c:v>
                </c:pt>
                <c:pt idx="2">
                  <c:v>53</c:v>
                </c:pt>
                <c:pt idx="3">
                  <c:v>52</c:v>
                </c:pt>
                <c:pt idx="4">
                  <c:v>45</c:v>
                </c:pt>
              </c:numCache>
            </c:numRef>
          </c:val>
          <c:extLst>
            <c:ext xmlns:c16="http://schemas.microsoft.com/office/drawing/2014/chart" uri="{C3380CC4-5D6E-409C-BE32-E72D297353CC}">
              <c16:uniqueId val="{00000000-ABF7-44BE-8B24-920FA2BDDB2B}"/>
            </c:ext>
          </c:extLst>
        </c:ser>
        <c:dLbls>
          <c:dLblPos val="outEnd"/>
          <c:showLegendKey val="0"/>
          <c:showVal val="1"/>
          <c:showCatName val="0"/>
          <c:showSerName val="0"/>
          <c:showPercent val="0"/>
          <c:showBubbleSize val="0"/>
        </c:dLbls>
        <c:gapWidth val="182"/>
        <c:axId val="862471440"/>
        <c:axId val="862472400"/>
      </c:barChart>
      <c:catAx>
        <c:axId val="862471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72400"/>
        <c:crosses val="autoZero"/>
        <c:auto val="1"/>
        <c:lblAlgn val="ctr"/>
        <c:lblOffset val="100"/>
        <c:noMultiLvlLbl val="0"/>
      </c:catAx>
      <c:valAx>
        <c:axId val="862472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7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Attendance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4BCCB5-B48D-4CAE-AF48-A5C91EF97E4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E315C8-DB5E-4D9C-B84C-92534810E02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44E7BD-0F8C-47AB-A280-375155A6ACDA}"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DB1E-577A-4CAF-9D2F-6FE7DBCCDC4B}"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BD5DC6-538E-4E34-A9F0-CD013C67CAA9}"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4BCCB5-B48D-4CAE-AF48-A5C91EF97E4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E315C8-DB5E-4D9C-B84C-92534810E02D}"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44E7BD-0F8C-47AB-A280-375155A6ACDA}"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DB1E-577A-4CAF-9D2F-6FE7DBCCDC4B}"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BD5DC6-538E-4E34-A9F0-CD013C67CAA9}" type="VALUE">
                  <a:rPr lang="en-US"/>
                  <a:pPr>
                    <a:defRPr sz="900" b="0" i="0" u="none" strike="noStrike" kern="1200" baseline="0">
                      <a:solidFill>
                        <a:schemeClr val="tx1">
                          <a:lumMod val="75000"/>
                          <a:lumOff val="25000"/>
                        </a:schemeClr>
                      </a:solidFill>
                      <a:latin typeface="+mn-lt"/>
                      <a:ea typeface="+mn-ea"/>
                      <a:cs typeface="+mn-cs"/>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4BCCB5-B48D-4CAE-AF48-A5C91EF97E4D}"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E315C8-DB5E-4D9C-B84C-92534810E02D}"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44E7BD-0F8C-47AB-A280-375155A6ACDA}"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DB1E-577A-4CAF-9D2F-6FE7DBCCDC4B}"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BD5DC6-538E-4E34-A9F0-CD013C67CAA9}" type="VALUE">
                  <a:rPr lang="en-US"/>
                  <a:pPr>
                    <a:defRPr/>
                  </a:pPr>
                  <a:t>[VALUE]</a:t>
                </a:fld>
                <a:r>
                  <a:rPr lang="en-US"/>
                  <a:t> %</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Findings!$G$13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9845-422B-8289-BC6CD64E395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9845-422B-8289-BC6CD64E395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9845-422B-8289-BC6CD64E395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9845-422B-8289-BC6CD64E395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9845-422B-8289-BC6CD64E395F}"/>
              </c:ext>
            </c:extLst>
          </c:dPt>
          <c:dLbls>
            <c:dLbl>
              <c:idx val="0"/>
              <c:tx>
                <c:rich>
                  <a:bodyPr/>
                  <a:lstStyle/>
                  <a:p>
                    <a:fld id="{3C4BCCB5-B48D-4CAE-AF48-A5C91EF97E4D}"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845-422B-8289-BC6CD64E395F}"/>
                </c:ext>
              </c:extLst>
            </c:dLbl>
            <c:dLbl>
              <c:idx val="1"/>
              <c:tx>
                <c:rich>
                  <a:bodyPr/>
                  <a:lstStyle/>
                  <a:p>
                    <a:fld id="{EAE315C8-DB5E-4D9C-B84C-92534810E02D}"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845-422B-8289-BC6CD64E395F}"/>
                </c:ext>
              </c:extLst>
            </c:dLbl>
            <c:dLbl>
              <c:idx val="2"/>
              <c:tx>
                <c:rich>
                  <a:bodyPr/>
                  <a:lstStyle/>
                  <a:p>
                    <a:fld id="{6844E7BD-0F8C-47AB-A280-375155A6ACDA}"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845-422B-8289-BC6CD64E395F}"/>
                </c:ext>
              </c:extLst>
            </c:dLbl>
            <c:dLbl>
              <c:idx val="3"/>
              <c:tx>
                <c:rich>
                  <a:bodyPr/>
                  <a:lstStyle/>
                  <a:p>
                    <a:fld id="{6F1BDB1E-577A-4CAF-9D2F-6FE7DBCCDC4B}"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845-422B-8289-BC6CD64E395F}"/>
                </c:ext>
              </c:extLst>
            </c:dLbl>
            <c:dLbl>
              <c:idx val="4"/>
              <c:tx>
                <c:rich>
                  <a:bodyPr/>
                  <a:lstStyle/>
                  <a:p>
                    <a:fld id="{EEBD5DC6-538E-4E34-A9F0-CD013C67CAA9}" type="VALUE">
                      <a:rPr lang="en-US"/>
                      <a:pPr/>
                      <a:t>[VALUE]</a:t>
                    </a:fld>
                    <a:r>
                      <a:rPr lang="en-US"/>
                      <a:t> %</a:t>
                    </a:r>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845-422B-8289-BC6CD64E39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Findings!$F$14:$F$19</c:f>
              <c:strCache>
                <c:ptCount val="5"/>
                <c:pt idx="0">
                  <c:v>Finance</c:v>
                </c:pt>
                <c:pt idx="1">
                  <c:v>HR</c:v>
                </c:pt>
                <c:pt idx="2">
                  <c:v>IT</c:v>
                </c:pt>
                <c:pt idx="3">
                  <c:v>Operations</c:v>
                </c:pt>
                <c:pt idx="4">
                  <c:v>Sales</c:v>
                </c:pt>
              </c:strCache>
            </c:strRef>
          </c:cat>
          <c:val>
            <c:numRef>
              <c:f>Findings!$G$14:$G$19</c:f>
              <c:numCache>
                <c:formatCode>0.00</c:formatCode>
                <c:ptCount val="5"/>
                <c:pt idx="0">
                  <c:v>87.745679012345704</c:v>
                </c:pt>
                <c:pt idx="1">
                  <c:v>87.557599999999965</c:v>
                </c:pt>
                <c:pt idx="2">
                  <c:v>87.28073394495415</c:v>
                </c:pt>
                <c:pt idx="3">
                  <c:v>86.674193548387109</c:v>
                </c:pt>
                <c:pt idx="4">
                  <c:v>87.229347826086979</c:v>
                </c:pt>
              </c:numCache>
            </c:numRef>
          </c:val>
          <c:extLst>
            <c:ext xmlns:c16="http://schemas.microsoft.com/office/drawing/2014/chart" uri="{C3380CC4-5D6E-409C-BE32-E72D297353CC}">
              <c16:uniqueId val="{00000005-9845-422B-8289-BC6CD64E395F}"/>
            </c:ext>
          </c:extLst>
        </c:ser>
        <c:dLbls>
          <c:dLblPos val="outEnd"/>
          <c:showLegendKey val="0"/>
          <c:showVal val="1"/>
          <c:showCatName val="0"/>
          <c:showSerName val="0"/>
          <c:showPercent val="0"/>
          <c:showBubbleSize val="0"/>
        </c:dLbls>
        <c:gapWidth val="219"/>
        <c:overlap val="-27"/>
        <c:axId val="862451760"/>
        <c:axId val="862460880"/>
      </c:barChart>
      <c:catAx>
        <c:axId val="86245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60880"/>
        <c:crosses val="autoZero"/>
        <c:auto val="1"/>
        <c:lblAlgn val="ctr"/>
        <c:lblOffset val="100"/>
        <c:noMultiLvlLbl val="0"/>
      </c:catAx>
      <c:valAx>
        <c:axId val="862460880"/>
        <c:scaling>
          <c:orientation val="minMax"/>
        </c:scaling>
        <c:delete val="1"/>
        <c:axPos val="l"/>
        <c:numFmt formatCode="0.00" sourceLinked="1"/>
        <c:majorTickMark val="none"/>
        <c:minorTickMark val="none"/>
        <c:tickLblPos val="nextTo"/>
        <c:crossAx val="862451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[HR_MIS_500_rows.xlsx]Findings!PivotTable19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Attration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Findings!$J$29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Findings!$I$30:$I$35</c:f>
              <c:strCache>
                <c:ptCount val="5"/>
                <c:pt idx="0">
                  <c:v>Finance</c:v>
                </c:pt>
                <c:pt idx="1">
                  <c:v>HR</c:v>
                </c:pt>
                <c:pt idx="2">
                  <c:v>IT</c:v>
                </c:pt>
                <c:pt idx="3">
                  <c:v>Operations</c:v>
                </c:pt>
                <c:pt idx="4">
                  <c:v>Sales</c:v>
                </c:pt>
              </c:strCache>
            </c:strRef>
          </c:cat>
          <c:val>
            <c:numRef>
              <c:f>Findings!$J$30:$J$35</c:f>
              <c:numCache>
                <c:formatCode>0.00%</c:formatCode>
                <c:ptCount val="5"/>
                <c:pt idx="0">
                  <c:v>0.55555555555555558</c:v>
                </c:pt>
                <c:pt idx="1">
                  <c:v>0.51200000000000001</c:v>
                </c:pt>
                <c:pt idx="2">
                  <c:v>0.51376146788990829</c:v>
                </c:pt>
                <c:pt idx="3">
                  <c:v>0.44086021505376344</c:v>
                </c:pt>
                <c:pt idx="4">
                  <c:v>0.51086956521739135</c:v>
                </c:pt>
              </c:numCache>
            </c:numRef>
          </c:val>
          <c:extLst>
            <c:ext xmlns:c16="http://schemas.microsoft.com/office/drawing/2014/chart" uri="{C3380CC4-5D6E-409C-BE32-E72D297353CC}">
              <c16:uniqueId val="{00000000-B3E2-4557-9F2F-B3DCCB0948B5}"/>
            </c:ext>
          </c:extLst>
        </c:ser>
        <c:dLbls>
          <c:dLblPos val="outEnd"/>
          <c:showLegendKey val="0"/>
          <c:showVal val="1"/>
          <c:showCatName val="0"/>
          <c:showSerName val="0"/>
          <c:showPercent val="0"/>
          <c:showBubbleSize val="0"/>
        </c:dLbls>
        <c:gapWidth val="182"/>
        <c:axId val="1013307536"/>
        <c:axId val="1013308016"/>
      </c:barChart>
      <c:catAx>
        <c:axId val="101330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308016"/>
        <c:crosses val="autoZero"/>
        <c:auto val="1"/>
        <c:lblAlgn val="ctr"/>
        <c:lblOffset val="100"/>
        <c:noMultiLvlLbl val="0"/>
      </c:catAx>
      <c:valAx>
        <c:axId val="1013308016"/>
        <c:scaling>
          <c:orientation val="minMax"/>
        </c:scaling>
        <c:delete val="1"/>
        <c:axPos val="b"/>
        <c:numFmt formatCode="0.00%" sourceLinked="1"/>
        <c:majorTickMark val="none"/>
        <c:minorTickMark val="none"/>
        <c:tickLblPos val="nextTo"/>
        <c:crossAx val="101330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Attration By Department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Attration By Department</a:t>
          </a:r>
        </a:p>
      </cx:txPr>
    </cx:title>
    <cx:plotArea>
      <cx:plotAreaRegion>
        <cx:series layoutId="treemap" uniqueId="{2129BA88-2345-4693-A66A-0DFFF209F772}">
          <cx:dataLabels pos="ctr">
            <cx:spPr>
              <a:noFill/>
              <a:ln>
                <a:noFill/>
              </a:ln>
            </cx:spPr>
            <cx:txPr>
              <a:bodyPr spcFirstLastPara="1" vertOverflow="ellipsis" horzOverflow="overflow" wrap="square" lIns="0" tIns="0" rIns="0" bIns="0" anchor="ctr" anchorCtr="1"/>
              <a:lstStyle/>
              <a:p>
                <a:pPr algn="ctr" rtl="0">
                  <a:defRPr sz="1400"/>
                </a:pPr>
                <a:endParaRPr lang="en-US" sz="1400" b="0" i="0" u="none" strike="noStrike" baseline="0">
                  <a:solidFill>
                    <a:sysClr val="window" lastClr="FFFFFF"/>
                  </a:solidFill>
                  <a:latin typeface="Calibri"/>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Finance 45</a:t>
                  </a:r>
                </a:p>
              </cx:txPr>
            </cx:dataLabel>
            <cx:dataLabel idx="1">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HR 64</a:t>
                  </a:r>
                </a:p>
              </cx:txPr>
            </cx:dataLabel>
            <cx:dataLabel idx="2">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IT 56</a:t>
                  </a:r>
                </a:p>
              </cx:txPr>
            </cx:dataLabel>
            <cx:dataLabel idx="3">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Operations 41</a:t>
                  </a:r>
                </a:p>
              </cx:txPr>
            </cx:dataLabel>
            <cx:dataLabel idx="4">
              <cx:txPr>
                <a:bodyPr spcFirstLastPara="1" vertOverflow="ellipsis" horzOverflow="overflow" wrap="square" lIns="0" tIns="0" rIns="0" bIns="0" anchor="ctr" anchorCtr="1"/>
                <a:lstStyle/>
                <a:p>
                  <a:pPr algn="ctr" rtl="0">
                    <a:defRPr sz="1100"/>
                  </a:pPr>
                  <a:r>
                    <a:rPr lang="en-US" sz="1100" b="0" i="0" u="none" strike="noStrike" baseline="0">
                      <a:solidFill>
                        <a:sysClr val="window" lastClr="FFFFFF"/>
                      </a:solidFill>
                      <a:latin typeface="Calibri"/>
                    </a:rPr>
                    <a:t>Sales 47</a:t>
                  </a:r>
                </a:p>
              </cx:txPr>
            </cx:dataLabel>
          </cx:dataLabels>
          <cx:dataId val="0"/>
          <cx:layoutPr>
            <cx:parentLabelLayout val="overlapping"/>
          </cx:layoutPr>
        </cx:series>
      </cx:plotAreaRegion>
    </cx:plotArea>
    <cx:legend pos="r"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287654</xdr:colOff>
      <xdr:row>0</xdr:row>
      <xdr:rowOff>11205</xdr:rowOff>
    </xdr:from>
    <xdr:to>
      <xdr:col>19</xdr:col>
      <xdr:colOff>577214</xdr:colOff>
      <xdr:row>42</xdr:row>
      <xdr:rowOff>152399</xdr:rowOff>
    </xdr:to>
    <xdr:sp macro="" textlink="">
      <xdr:nvSpPr>
        <xdr:cNvPr id="2" name="Rectangle: Rounded Corners 1">
          <a:extLst>
            <a:ext uri="{FF2B5EF4-FFF2-40B4-BE49-F238E27FC236}">
              <a16:creationId xmlns:a16="http://schemas.microsoft.com/office/drawing/2014/main" id="{9420EF93-79B9-9E74-FD42-1041DFE92379}"/>
            </a:ext>
          </a:extLst>
        </xdr:cNvPr>
        <xdr:cNvSpPr/>
      </xdr:nvSpPr>
      <xdr:spPr>
        <a:xfrm>
          <a:off x="287654" y="11205"/>
          <a:ext cx="11871960" cy="7742144"/>
        </a:xfrm>
        <a:prstGeom prst="roundRect">
          <a:avLst>
            <a:gd name="adj" fmla="val 1161"/>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363854</xdr:colOff>
      <xdr:row>0</xdr:row>
      <xdr:rowOff>79785</xdr:rowOff>
    </xdr:from>
    <xdr:to>
      <xdr:col>19</xdr:col>
      <xdr:colOff>485774</xdr:colOff>
      <xdr:row>2</xdr:row>
      <xdr:rowOff>133125</xdr:rowOff>
    </xdr:to>
    <xdr:sp macro="" textlink="">
      <xdr:nvSpPr>
        <xdr:cNvPr id="3" name="Rectangle 2">
          <a:extLst>
            <a:ext uri="{FF2B5EF4-FFF2-40B4-BE49-F238E27FC236}">
              <a16:creationId xmlns:a16="http://schemas.microsoft.com/office/drawing/2014/main" id="{E2B2BAAE-34D0-7B4B-304B-8E0EC8EAB2F2}"/>
            </a:ext>
          </a:extLst>
        </xdr:cNvPr>
        <xdr:cNvSpPr/>
      </xdr:nvSpPr>
      <xdr:spPr>
        <a:xfrm>
          <a:off x="363854" y="79785"/>
          <a:ext cx="11704320" cy="415290"/>
        </a:xfrm>
        <a:prstGeom prst="rect">
          <a:avLst/>
        </a:prstGeom>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HR MIS Dashboard</a:t>
          </a:r>
          <a:r>
            <a:rPr lang="en-IN" sz="1800" b="1" baseline="0"/>
            <a:t> </a:t>
          </a:r>
          <a:endParaRPr lang="en-IN" sz="1800" b="1"/>
        </a:p>
      </xdr:txBody>
    </xdr:sp>
    <xdr:clientData/>
  </xdr:twoCellAnchor>
  <xdr:twoCellAnchor>
    <xdr:from>
      <xdr:col>0</xdr:col>
      <xdr:colOff>363854</xdr:colOff>
      <xdr:row>3</xdr:row>
      <xdr:rowOff>11205</xdr:rowOff>
    </xdr:from>
    <xdr:to>
      <xdr:col>19</xdr:col>
      <xdr:colOff>485774</xdr:colOff>
      <xdr:row>7</xdr:row>
      <xdr:rowOff>41685</xdr:rowOff>
    </xdr:to>
    <xdr:sp macro="" textlink="">
      <xdr:nvSpPr>
        <xdr:cNvPr id="9" name="Rectangle 8">
          <a:extLst>
            <a:ext uri="{FF2B5EF4-FFF2-40B4-BE49-F238E27FC236}">
              <a16:creationId xmlns:a16="http://schemas.microsoft.com/office/drawing/2014/main" id="{5FADB026-EA31-4819-991E-74F1895610D9}"/>
            </a:ext>
          </a:extLst>
        </xdr:cNvPr>
        <xdr:cNvSpPr/>
      </xdr:nvSpPr>
      <xdr:spPr>
        <a:xfrm>
          <a:off x="363854" y="554130"/>
          <a:ext cx="11704320" cy="75438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0</xdr:col>
      <xdr:colOff>417194</xdr:colOff>
      <xdr:row>3</xdr:row>
      <xdr:rowOff>49305</xdr:rowOff>
    </xdr:from>
    <xdr:to>
      <xdr:col>2</xdr:col>
      <xdr:colOff>295274</xdr:colOff>
      <xdr:row>4</xdr:row>
      <xdr:rowOff>175260</xdr:rowOff>
    </xdr:to>
    <xdr:sp macro="" textlink="">
      <xdr:nvSpPr>
        <xdr:cNvPr id="10" name="TextBox 9">
          <a:extLst>
            <a:ext uri="{FF2B5EF4-FFF2-40B4-BE49-F238E27FC236}">
              <a16:creationId xmlns:a16="http://schemas.microsoft.com/office/drawing/2014/main" id="{B5DCD0FE-D6F2-BE4D-2622-CD0AA218AD3A}"/>
            </a:ext>
          </a:extLst>
        </xdr:cNvPr>
        <xdr:cNvSpPr txBox="1"/>
      </xdr:nvSpPr>
      <xdr:spPr>
        <a:xfrm>
          <a:off x="417194" y="592230"/>
          <a:ext cx="1097280" cy="306930"/>
        </a:xfrm>
        <a:prstGeom prst="rect">
          <a:avLst/>
        </a:prstGeom>
        <a:solidFill>
          <a:schemeClr val="lt1"/>
        </a:solidFill>
        <a:ln w="317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KPI CARDS</a:t>
          </a:r>
        </a:p>
      </xdr:txBody>
    </xdr:sp>
    <xdr:clientData/>
  </xdr:twoCellAnchor>
  <xdr:twoCellAnchor>
    <xdr:from>
      <xdr:col>5</xdr:col>
      <xdr:colOff>568070</xdr:colOff>
      <xdr:row>3</xdr:row>
      <xdr:rowOff>34065</xdr:rowOff>
    </xdr:from>
    <xdr:to>
      <xdr:col>8</xdr:col>
      <xdr:colOff>74294</xdr:colOff>
      <xdr:row>4</xdr:row>
      <xdr:rowOff>152400</xdr:rowOff>
    </xdr:to>
    <xdr:sp macro="" textlink="">
      <xdr:nvSpPr>
        <xdr:cNvPr id="13" name="Rectangle 12">
          <a:extLst>
            <a:ext uri="{FF2B5EF4-FFF2-40B4-BE49-F238E27FC236}">
              <a16:creationId xmlns:a16="http://schemas.microsoft.com/office/drawing/2014/main" id="{8AD997BC-1E5C-485B-A0A1-BDC088DFBB37}"/>
            </a:ext>
          </a:extLst>
        </xdr:cNvPr>
        <xdr:cNvSpPr/>
      </xdr:nvSpPr>
      <xdr:spPr>
        <a:xfrm>
          <a:off x="3616070" y="576990"/>
          <a:ext cx="1335024"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Active Employees</a:t>
          </a:r>
        </a:p>
      </xdr:txBody>
    </xdr:sp>
    <xdr:clientData/>
  </xdr:twoCellAnchor>
  <xdr:twoCellAnchor>
    <xdr:from>
      <xdr:col>3</xdr:col>
      <xdr:colOff>13334</xdr:colOff>
      <xdr:row>3</xdr:row>
      <xdr:rowOff>34065</xdr:rowOff>
    </xdr:from>
    <xdr:to>
      <xdr:col>5</xdr:col>
      <xdr:colOff>20954</xdr:colOff>
      <xdr:row>4</xdr:row>
      <xdr:rowOff>152400</xdr:rowOff>
    </xdr:to>
    <xdr:sp macro="" textlink="">
      <xdr:nvSpPr>
        <xdr:cNvPr id="11" name="Rectangle 10">
          <a:extLst>
            <a:ext uri="{FF2B5EF4-FFF2-40B4-BE49-F238E27FC236}">
              <a16:creationId xmlns:a16="http://schemas.microsoft.com/office/drawing/2014/main" id="{E1D199F9-E706-E4F9-F0E0-117409C0D909}"/>
            </a:ext>
          </a:extLst>
        </xdr:cNvPr>
        <xdr:cNvSpPr/>
      </xdr:nvSpPr>
      <xdr:spPr>
        <a:xfrm>
          <a:off x="1842134"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Employees</a:t>
          </a:r>
        </a:p>
      </xdr:txBody>
    </xdr:sp>
    <xdr:clientData/>
  </xdr:twoCellAnchor>
  <xdr:twoCellAnchor>
    <xdr:from>
      <xdr:col>8</xdr:col>
      <xdr:colOff>513206</xdr:colOff>
      <xdr:row>3</xdr:row>
      <xdr:rowOff>34065</xdr:rowOff>
    </xdr:from>
    <xdr:to>
      <xdr:col>10</xdr:col>
      <xdr:colOff>520826</xdr:colOff>
      <xdr:row>4</xdr:row>
      <xdr:rowOff>152400</xdr:rowOff>
    </xdr:to>
    <xdr:sp macro="" textlink="">
      <xdr:nvSpPr>
        <xdr:cNvPr id="12" name="Rectangle 11">
          <a:extLst>
            <a:ext uri="{FF2B5EF4-FFF2-40B4-BE49-F238E27FC236}">
              <a16:creationId xmlns:a16="http://schemas.microsoft.com/office/drawing/2014/main" id="{10133E6B-81CF-46D2-822B-045C116E2A31}"/>
            </a:ext>
          </a:extLst>
        </xdr:cNvPr>
        <xdr:cNvSpPr/>
      </xdr:nvSpPr>
      <xdr:spPr>
        <a:xfrm>
          <a:off x="5390006"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Attration</a:t>
          </a:r>
          <a:r>
            <a:rPr lang="en-IN" sz="1200" b="1" baseline="0"/>
            <a:t> %</a:t>
          </a:r>
          <a:endParaRPr lang="en-IN" sz="1200" b="1"/>
        </a:p>
      </xdr:txBody>
    </xdr:sp>
    <xdr:clientData/>
  </xdr:twoCellAnchor>
  <xdr:twoCellAnchor>
    <xdr:from>
      <xdr:col>11</xdr:col>
      <xdr:colOff>458342</xdr:colOff>
      <xdr:row>3</xdr:row>
      <xdr:rowOff>34065</xdr:rowOff>
    </xdr:from>
    <xdr:to>
      <xdr:col>13</xdr:col>
      <xdr:colOff>465962</xdr:colOff>
      <xdr:row>4</xdr:row>
      <xdr:rowOff>152400</xdr:rowOff>
    </xdr:to>
    <xdr:sp macro="" textlink="">
      <xdr:nvSpPr>
        <xdr:cNvPr id="14" name="Rectangle 13">
          <a:extLst>
            <a:ext uri="{FF2B5EF4-FFF2-40B4-BE49-F238E27FC236}">
              <a16:creationId xmlns:a16="http://schemas.microsoft.com/office/drawing/2014/main" id="{C3A0BFAB-B00F-4EF5-BA19-8D1B2E5159DD}"/>
            </a:ext>
          </a:extLst>
        </xdr:cNvPr>
        <xdr:cNvSpPr/>
      </xdr:nvSpPr>
      <xdr:spPr>
        <a:xfrm>
          <a:off x="7163942"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a:t>
          </a:r>
          <a:r>
            <a:rPr lang="en-IN" sz="1200" b="1" baseline="0"/>
            <a:t> Salary</a:t>
          </a:r>
          <a:endParaRPr lang="en-IN" sz="1200" b="1"/>
        </a:p>
      </xdr:txBody>
    </xdr:sp>
    <xdr:clientData/>
  </xdr:twoCellAnchor>
  <xdr:twoCellAnchor>
    <xdr:from>
      <xdr:col>14</xdr:col>
      <xdr:colOff>333374</xdr:colOff>
      <xdr:row>3</xdr:row>
      <xdr:rowOff>34065</xdr:rowOff>
    </xdr:from>
    <xdr:to>
      <xdr:col>17</xdr:col>
      <xdr:colOff>5714</xdr:colOff>
      <xdr:row>4</xdr:row>
      <xdr:rowOff>152400</xdr:rowOff>
    </xdr:to>
    <xdr:sp macro="" textlink="">
      <xdr:nvSpPr>
        <xdr:cNvPr id="15" name="Rectangle 14">
          <a:extLst>
            <a:ext uri="{FF2B5EF4-FFF2-40B4-BE49-F238E27FC236}">
              <a16:creationId xmlns:a16="http://schemas.microsoft.com/office/drawing/2014/main" id="{E3A17D39-FD02-4DF2-A31F-6DD65BF2B396}"/>
            </a:ext>
          </a:extLst>
        </xdr:cNvPr>
        <xdr:cNvSpPr/>
      </xdr:nvSpPr>
      <xdr:spPr>
        <a:xfrm>
          <a:off x="8867774" y="576990"/>
          <a:ext cx="150114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a:t>
          </a:r>
          <a:r>
            <a:rPr lang="en-IN" sz="1200" b="1" baseline="0"/>
            <a:t> Attendance</a:t>
          </a:r>
          <a:endParaRPr lang="en-IN" sz="1200" b="1"/>
        </a:p>
      </xdr:txBody>
    </xdr:sp>
    <xdr:clientData/>
  </xdr:twoCellAnchor>
  <xdr:twoCellAnchor>
    <xdr:from>
      <xdr:col>17</xdr:col>
      <xdr:colOff>348614</xdr:colOff>
      <xdr:row>3</xdr:row>
      <xdr:rowOff>34065</xdr:rowOff>
    </xdr:from>
    <xdr:to>
      <xdr:col>19</xdr:col>
      <xdr:colOff>356234</xdr:colOff>
      <xdr:row>4</xdr:row>
      <xdr:rowOff>152400</xdr:rowOff>
    </xdr:to>
    <xdr:sp macro="" textlink="">
      <xdr:nvSpPr>
        <xdr:cNvPr id="16" name="Rectangle 15">
          <a:extLst>
            <a:ext uri="{FF2B5EF4-FFF2-40B4-BE49-F238E27FC236}">
              <a16:creationId xmlns:a16="http://schemas.microsoft.com/office/drawing/2014/main" id="{E22CED83-9BCC-4FA1-A1C8-A9A5E09469C4}"/>
            </a:ext>
          </a:extLst>
        </xdr:cNvPr>
        <xdr:cNvSpPr/>
      </xdr:nvSpPr>
      <xdr:spPr>
        <a:xfrm>
          <a:off x="10711814" y="576990"/>
          <a:ext cx="1226820" cy="299310"/>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Max</a:t>
          </a:r>
          <a:r>
            <a:rPr lang="en-IN" sz="1200" b="1" baseline="0"/>
            <a:t> Attration</a:t>
          </a:r>
          <a:endParaRPr lang="en-IN" sz="1200" b="1"/>
        </a:p>
      </xdr:txBody>
    </xdr:sp>
    <xdr:clientData/>
  </xdr:twoCellAnchor>
  <xdr:twoCellAnchor>
    <xdr:from>
      <xdr:col>5</xdr:col>
      <xdr:colOff>560450</xdr:colOff>
      <xdr:row>5</xdr:row>
      <xdr:rowOff>3585</xdr:rowOff>
    </xdr:from>
    <xdr:to>
      <xdr:col>7</xdr:col>
      <xdr:colOff>568070</xdr:colOff>
      <xdr:row>6</xdr:row>
      <xdr:rowOff>125505</xdr:rowOff>
    </xdr:to>
    <xdr:sp macro="" textlink="Findings!G7">
      <xdr:nvSpPr>
        <xdr:cNvPr id="17" name="Rectangle 16">
          <a:extLst>
            <a:ext uri="{FF2B5EF4-FFF2-40B4-BE49-F238E27FC236}">
              <a16:creationId xmlns:a16="http://schemas.microsoft.com/office/drawing/2014/main" id="{EDF0DF53-6F84-43D3-9560-6E826AE76E60}"/>
            </a:ext>
          </a:extLst>
        </xdr:cNvPr>
        <xdr:cNvSpPr/>
      </xdr:nvSpPr>
      <xdr:spPr>
        <a:xfrm>
          <a:off x="3608450"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5D66CCA-6AF2-4D23-B8AC-699DAA667008}" type="TxLink">
            <a:rPr lang="en-US" sz="1600" b="1" i="0" u="none" strike="noStrike">
              <a:solidFill>
                <a:srgbClr val="000000"/>
              </a:solidFill>
              <a:latin typeface="Calibri"/>
              <a:ea typeface="Calibri"/>
              <a:cs typeface="Calibri"/>
            </a:rPr>
            <a:pPr algn="ctr"/>
            <a:t>247</a:t>
          </a:fld>
          <a:endParaRPr lang="en-US" sz="1600" b="1"/>
        </a:p>
      </xdr:txBody>
    </xdr:sp>
    <xdr:clientData/>
  </xdr:twoCellAnchor>
  <xdr:twoCellAnchor>
    <xdr:from>
      <xdr:col>3</xdr:col>
      <xdr:colOff>5714</xdr:colOff>
      <xdr:row>5</xdr:row>
      <xdr:rowOff>3585</xdr:rowOff>
    </xdr:from>
    <xdr:to>
      <xdr:col>5</xdr:col>
      <xdr:colOff>13334</xdr:colOff>
      <xdr:row>6</xdr:row>
      <xdr:rowOff>125505</xdr:rowOff>
    </xdr:to>
    <xdr:sp macro="" textlink="Findings!G6">
      <xdr:nvSpPr>
        <xdr:cNvPr id="18" name="Rectangle 17">
          <a:extLst>
            <a:ext uri="{FF2B5EF4-FFF2-40B4-BE49-F238E27FC236}">
              <a16:creationId xmlns:a16="http://schemas.microsoft.com/office/drawing/2014/main" id="{642617F6-0CB7-43AF-AE14-E4897DA25EDD}"/>
            </a:ext>
          </a:extLst>
        </xdr:cNvPr>
        <xdr:cNvSpPr/>
      </xdr:nvSpPr>
      <xdr:spPr>
        <a:xfrm>
          <a:off x="1834514"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27BB9BC-B656-494F-BCA3-773E7E671171}" type="TxLink">
            <a:rPr lang="en-US" sz="1400" b="1" i="0" u="none" strike="noStrike">
              <a:solidFill>
                <a:srgbClr val="000000"/>
              </a:solidFill>
              <a:latin typeface="Calibri"/>
              <a:ea typeface="Calibri"/>
              <a:cs typeface="Calibri"/>
            </a:rPr>
            <a:pPr algn="ctr"/>
            <a:t>500</a:t>
          </a:fld>
          <a:endParaRPr lang="en-US" sz="1400" b="1"/>
        </a:p>
      </xdr:txBody>
    </xdr:sp>
    <xdr:clientData/>
  </xdr:twoCellAnchor>
  <xdr:twoCellAnchor>
    <xdr:from>
      <xdr:col>8</xdr:col>
      <xdr:colOff>505586</xdr:colOff>
      <xdr:row>5</xdr:row>
      <xdr:rowOff>3585</xdr:rowOff>
    </xdr:from>
    <xdr:to>
      <xdr:col>10</xdr:col>
      <xdr:colOff>513206</xdr:colOff>
      <xdr:row>6</xdr:row>
      <xdr:rowOff>125505</xdr:rowOff>
    </xdr:to>
    <xdr:sp macro="" textlink="Findings!G8">
      <xdr:nvSpPr>
        <xdr:cNvPr id="19" name="Rectangle 18">
          <a:extLst>
            <a:ext uri="{FF2B5EF4-FFF2-40B4-BE49-F238E27FC236}">
              <a16:creationId xmlns:a16="http://schemas.microsoft.com/office/drawing/2014/main" id="{157B954C-762F-498D-AC45-35515CD351AD}"/>
            </a:ext>
          </a:extLst>
        </xdr:cNvPr>
        <xdr:cNvSpPr/>
      </xdr:nvSpPr>
      <xdr:spPr>
        <a:xfrm>
          <a:off x="5382386"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6607583-10C4-487A-9EFC-5FC0D8A89D73}" type="TxLink">
            <a:rPr lang="en-US" sz="1400" b="1" i="0" u="none" strike="noStrike">
              <a:solidFill>
                <a:srgbClr val="000000"/>
              </a:solidFill>
              <a:latin typeface="Calibri"/>
              <a:ea typeface="Calibri"/>
              <a:cs typeface="Calibri"/>
            </a:rPr>
            <a:pPr algn="ctr"/>
            <a:t>50.60%</a:t>
          </a:fld>
          <a:endParaRPr lang="en-IN" sz="1600" b="1"/>
        </a:p>
      </xdr:txBody>
    </xdr:sp>
    <xdr:clientData/>
  </xdr:twoCellAnchor>
  <xdr:twoCellAnchor>
    <xdr:from>
      <xdr:col>11</xdr:col>
      <xdr:colOff>450722</xdr:colOff>
      <xdr:row>5</xdr:row>
      <xdr:rowOff>3585</xdr:rowOff>
    </xdr:from>
    <xdr:to>
      <xdr:col>13</xdr:col>
      <xdr:colOff>458342</xdr:colOff>
      <xdr:row>6</xdr:row>
      <xdr:rowOff>125505</xdr:rowOff>
    </xdr:to>
    <xdr:sp macro="" textlink="Findings!G9">
      <xdr:nvSpPr>
        <xdr:cNvPr id="20" name="Rectangle 19">
          <a:extLst>
            <a:ext uri="{FF2B5EF4-FFF2-40B4-BE49-F238E27FC236}">
              <a16:creationId xmlns:a16="http://schemas.microsoft.com/office/drawing/2014/main" id="{083ECB50-5A68-4762-83AD-CF627CBB988C}"/>
            </a:ext>
          </a:extLst>
        </xdr:cNvPr>
        <xdr:cNvSpPr/>
      </xdr:nvSpPr>
      <xdr:spPr>
        <a:xfrm>
          <a:off x="7156322"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D24508-BCBB-4C06-8888-92C4EF0255A4}" type="TxLink">
            <a:rPr lang="en-US" sz="1400" b="1" i="0" u="none" strike="noStrike">
              <a:solidFill>
                <a:srgbClr val="000000"/>
              </a:solidFill>
              <a:latin typeface="Calibri"/>
              <a:ea typeface="Calibri"/>
              <a:cs typeface="Calibri"/>
            </a:rPr>
            <a:pPr algn="ctr"/>
            <a:t>₹ 7,12,289.96</a:t>
          </a:fld>
          <a:endParaRPr lang="en-IN" sz="1600" b="1"/>
        </a:p>
      </xdr:txBody>
    </xdr:sp>
    <xdr:clientData/>
  </xdr:twoCellAnchor>
  <xdr:twoCellAnchor>
    <xdr:from>
      <xdr:col>14</xdr:col>
      <xdr:colOff>395858</xdr:colOff>
      <xdr:row>5</xdr:row>
      <xdr:rowOff>3585</xdr:rowOff>
    </xdr:from>
    <xdr:to>
      <xdr:col>16</xdr:col>
      <xdr:colOff>403478</xdr:colOff>
      <xdr:row>6</xdr:row>
      <xdr:rowOff>125505</xdr:rowOff>
    </xdr:to>
    <xdr:sp macro="" textlink="Findings!G10">
      <xdr:nvSpPr>
        <xdr:cNvPr id="21" name="Rectangle 20">
          <a:extLst>
            <a:ext uri="{FF2B5EF4-FFF2-40B4-BE49-F238E27FC236}">
              <a16:creationId xmlns:a16="http://schemas.microsoft.com/office/drawing/2014/main" id="{79621070-4C95-471C-B700-AAAC3D146EBE}"/>
            </a:ext>
          </a:extLst>
        </xdr:cNvPr>
        <xdr:cNvSpPr/>
      </xdr:nvSpPr>
      <xdr:spPr>
        <a:xfrm>
          <a:off x="8930258"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4C56EB3-8665-49DF-8830-ACDD934E884D}" type="TxLink">
            <a:rPr lang="en-US" sz="1400" b="1" i="0" u="none" strike="noStrike">
              <a:solidFill>
                <a:srgbClr val="000000"/>
              </a:solidFill>
              <a:latin typeface="Calibri"/>
              <a:ea typeface="Calibri"/>
              <a:cs typeface="Calibri"/>
            </a:rPr>
            <a:pPr algn="ctr"/>
            <a:t>87.30</a:t>
          </a:fld>
          <a:endParaRPr lang="en-IN" sz="1600" b="1"/>
        </a:p>
      </xdr:txBody>
    </xdr:sp>
    <xdr:clientData/>
  </xdr:twoCellAnchor>
  <xdr:twoCellAnchor>
    <xdr:from>
      <xdr:col>17</xdr:col>
      <xdr:colOff>340994</xdr:colOff>
      <xdr:row>5</xdr:row>
      <xdr:rowOff>3585</xdr:rowOff>
    </xdr:from>
    <xdr:to>
      <xdr:col>19</xdr:col>
      <xdr:colOff>348614</xdr:colOff>
      <xdr:row>6</xdr:row>
      <xdr:rowOff>125505</xdr:rowOff>
    </xdr:to>
    <xdr:sp macro="" textlink="Findings!G11">
      <xdr:nvSpPr>
        <xdr:cNvPr id="22" name="Rectangle 21">
          <a:extLst>
            <a:ext uri="{FF2B5EF4-FFF2-40B4-BE49-F238E27FC236}">
              <a16:creationId xmlns:a16="http://schemas.microsoft.com/office/drawing/2014/main" id="{179663A0-1468-49ED-8A1E-E773AE1F9221}"/>
            </a:ext>
          </a:extLst>
        </xdr:cNvPr>
        <xdr:cNvSpPr/>
      </xdr:nvSpPr>
      <xdr:spPr>
        <a:xfrm>
          <a:off x="10704194" y="908460"/>
          <a:ext cx="1226820" cy="302895"/>
        </a:xfrm>
        <a:prstGeom prst="rect">
          <a:avLst/>
        </a:prstGeom>
        <a:ln w="3175">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6A4BED6-1EF5-43F9-8EC4-EABB04C77F62}" type="TxLink">
            <a:rPr lang="en-US" sz="1400" b="1" i="0" u="none" strike="noStrike">
              <a:solidFill>
                <a:srgbClr val="000000"/>
              </a:solidFill>
              <a:latin typeface="Calibri"/>
              <a:ea typeface="Calibri"/>
              <a:cs typeface="Calibri"/>
            </a:rPr>
            <a:pPr algn="ctr"/>
            <a:t>Finance</a:t>
          </a:fld>
          <a:endParaRPr lang="en-IN" sz="1600" b="1"/>
        </a:p>
      </xdr:txBody>
    </xdr:sp>
    <xdr:clientData/>
  </xdr:twoCellAnchor>
  <xdr:twoCellAnchor>
    <xdr:from>
      <xdr:col>0</xdr:col>
      <xdr:colOff>356234</xdr:colOff>
      <xdr:row>7</xdr:row>
      <xdr:rowOff>95025</xdr:rowOff>
    </xdr:from>
    <xdr:to>
      <xdr:col>3</xdr:col>
      <xdr:colOff>135254</xdr:colOff>
      <xdr:row>31</xdr:row>
      <xdr:rowOff>102645</xdr:rowOff>
    </xdr:to>
    <xdr:sp macro="" textlink="">
      <xdr:nvSpPr>
        <xdr:cNvPr id="25" name="Rectangle 24">
          <a:extLst>
            <a:ext uri="{FF2B5EF4-FFF2-40B4-BE49-F238E27FC236}">
              <a16:creationId xmlns:a16="http://schemas.microsoft.com/office/drawing/2014/main" id="{325CD914-1EB2-476F-A858-B2B5E2437CBA}"/>
            </a:ext>
          </a:extLst>
        </xdr:cNvPr>
        <xdr:cNvSpPr/>
      </xdr:nvSpPr>
      <xdr:spPr>
        <a:xfrm>
          <a:off x="356234" y="1361850"/>
          <a:ext cx="1607820" cy="435102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3</xdr:col>
      <xdr:colOff>196214</xdr:colOff>
      <xdr:row>7</xdr:row>
      <xdr:rowOff>95025</xdr:rowOff>
    </xdr:from>
    <xdr:to>
      <xdr:col>11</xdr:col>
      <xdr:colOff>176492</xdr:colOff>
      <xdr:row>11</xdr:row>
      <xdr:rowOff>79785</xdr:rowOff>
    </xdr:to>
    <xdr:sp macro="" textlink="">
      <xdr:nvSpPr>
        <xdr:cNvPr id="27" name="Rectangle 26">
          <a:extLst>
            <a:ext uri="{FF2B5EF4-FFF2-40B4-BE49-F238E27FC236}">
              <a16:creationId xmlns:a16="http://schemas.microsoft.com/office/drawing/2014/main" id="{65C05C31-9C01-4338-8D9C-02258ADA289E}"/>
            </a:ext>
          </a:extLst>
        </xdr:cNvPr>
        <xdr:cNvSpPr/>
      </xdr:nvSpPr>
      <xdr:spPr>
        <a:xfrm>
          <a:off x="2025014" y="1361850"/>
          <a:ext cx="4857078" cy="70866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editAs="oneCell">
    <xdr:from>
      <xdr:col>0</xdr:col>
      <xdr:colOff>409574</xdr:colOff>
      <xdr:row>7</xdr:row>
      <xdr:rowOff>148365</xdr:rowOff>
    </xdr:from>
    <xdr:to>
      <xdr:col>3</xdr:col>
      <xdr:colOff>74294</xdr:colOff>
      <xdr:row>27</xdr:row>
      <xdr:rowOff>79785</xdr:rowOff>
    </xdr:to>
    <mc:AlternateContent xmlns:mc="http://schemas.openxmlformats.org/markup-compatibility/2006" xmlns:a14="http://schemas.microsoft.com/office/drawing/2010/main">
      <mc:Choice Requires="a14">
        <xdr:graphicFrame macro="">
          <xdr:nvGraphicFramePr>
            <xdr:cNvPr id="28" name="Months">
              <a:extLst>
                <a:ext uri="{FF2B5EF4-FFF2-40B4-BE49-F238E27FC236}">
                  <a16:creationId xmlns:a16="http://schemas.microsoft.com/office/drawing/2014/main" id="{79633361-908A-4E22-8D40-302A0836740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09574" y="1443765"/>
              <a:ext cx="1493520" cy="3632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226694</xdr:colOff>
      <xdr:row>7</xdr:row>
      <xdr:rowOff>133126</xdr:rowOff>
    </xdr:from>
    <xdr:to>
      <xdr:col>11</xdr:col>
      <xdr:colOff>140633</xdr:colOff>
      <xdr:row>11</xdr:row>
      <xdr:rowOff>26446</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751786D9-82A5-44A2-BDE5-3E54811ABA4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55494" y="1428526"/>
              <a:ext cx="4790739" cy="633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221765</xdr:colOff>
      <xdr:row>7</xdr:row>
      <xdr:rowOff>95025</xdr:rowOff>
    </xdr:from>
    <xdr:to>
      <xdr:col>19</xdr:col>
      <xdr:colOff>499221</xdr:colOff>
      <xdr:row>11</xdr:row>
      <xdr:rowOff>79785</xdr:rowOff>
    </xdr:to>
    <xdr:sp macro="" textlink="">
      <xdr:nvSpPr>
        <xdr:cNvPr id="30" name="Rectangle 29">
          <a:extLst>
            <a:ext uri="{FF2B5EF4-FFF2-40B4-BE49-F238E27FC236}">
              <a16:creationId xmlns:a16="http://schemas.microsoft.com/office/drawing/2014/main" id="{99362016-9B92-44AE-BD10-7026434BBC26}"/>
            </a:ext>
          </a:extLst>
        </xdr:cNvPr>
        <xdr:cNvSpPr/>
      </xdr:nvSpPr>
      <xdr:spPr>
        <a:xfrm>
          <a:off x="6927365" y="1361850"/>
          <a:ext cx="5154256" cy="70866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editAs="oneCell">
    <xdr:from>
      <xdr:col>11</xdr:col>
      <xdr:colOff>293033</xdr:colOff>
      <xdr:row>7</xdr:row>
      <xdr:rowOff>125506</xdr:rowOff>
    </xdr:from>
    <xdr:to>
      <xdr:col>19</xdr:col>
      <xdr:colOff>463362</xdr:colOff>
      <xdr:row>11</xdr:row>
      <xdr:rowOff>20386</xdr:rowOff>
    </xdr:to>
    <mc:AlternateContent xmlns:mc="http://schemas.openxmlformats.org/markup-compatibility/2006" xmlns:a14="http://schemas.microsoft.com/office/drawing/2010/main">
      <mc:Choice Requires="a14">
        <xdr:graphicFrame macro="">
          <xdr:nvGraphicFramePr>
            <xdr:cNvPr id="31" name="Location">
              <a:extLst>
                <a:ext uri="{FF2B5EF4-FFF2-40B4-BE49-F238E27FC236}">
                  <a16:creationId xmlns:a16="http://schemas.microsoft.com/office/drawing/2014/main" id="{439E5142-DC89-4A75-820D-1B23814A798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998633" y="1420906"/>
              <a:ext cx="5047129" cy="635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188594</xdr:colOff>
      <xdr:row>11</xdr:row>
      <xdr:rowOff>133125</xdr:rowOff>
    </xdr:from>
    <xdr:to>
      <xdr:col>9</xdr:col>
      <xdr:colOff>59054</xdr:colOff>
      <xdr:row>21</xdr:row>
      <xdr:rowOff>152400</xdr:rowOff>
    </xdr:to>
    <xdr:sp macro="" textlink="">
      <xdr:nvSpPr>
        <xdr:cNvPr id="33" name="Rectangle 32">
          <a:extLst>
            <a:ext uri="{FF2B5EF4-FFF2-40B4-BE49-F238E27FC236}">
              <a16:creationId xmlns:a16="http://schemas.microsoft.com/office/drawing/2014/main" id="{7CF4A053-08BD-4EDF-BF20-D57FEB2EFE82}"/>
            </a:ext>
          </a:extLst>
        </xdr:cNvPr>
        <xdr:cNvSpPr/>
      </xdr:nvSpPr>
      <xdr:spPr>
        <a:xfrm>
          <a:off x="2017394" y="2123850"/>
          <a:ext cx="3528060" cy="182902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9</xdr:col>
      <xdr:colOff>104774</xdr:colOff>
      <xdr:row>11</xdr:row>
      <xdr:rowOff>125505</xdr:rowOff>
    </xdr:from>
    <xdr:to>
      <xdr:col>14</xdr:col>
      <xdr:colOff>203834</xdr:colOff>
      <xdr:row>21</xdr:row>
      <xdr:rowOff>147105</xdr:rowOff>
    </xdr:to>
    <xdr:sp macro="" textlink="">
      <xdr:nvSpPr>
        <xdr:cNvPr id="34" name="Rectangle 33">
          <a:extLst>
            <a:ext uri="{FF2B5EF4-FFF2-40B4-BE49-F238E27FC236}">
              <a16:creationId xmlns:a16="http://schemas.microsoft.com/office/drawing/2014/main" id="{0BECCF06-F780-4A14-9647-0172609CD527}"/>
            </a:ext>
          </a:extLst>
        </xdr:cNvPr>
        <xdr:cNvSpPr/>
      </xdr:nvSpPr>
      <xdr:spPr>
        <a:xfrm>
          <a:off x="5591174" y="2116230"/>
          <a:ext cx="3147060" cy="183135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3</xdr:col>
      <xdr:colOff>257174</xdr:colOff>
      <xdr:row>12</xdr:row>
      <xdr:rowOff>3585</xdr:rowOff>
    </xdr:from>
    <xdr:to>
      <xdr:col>9</xdr:col>
      <xdr:colOff>59054</xdr:colOff>
      <xdr:row>21</xdr:row>
      <xdr:rowOff>125505</xdr:rowOff>
    </xdr:to>
    <xdr:graphicFrame macro="">
      <xdr:nvGraphicFramePr>
        <xdr:cNvPr id="35" name="Chart 34">
          <a:extLst>
            <a:ext uri="{FF2B5EF4-FFF2-40B4-BE49-F238E27FC236}">
              <a16:creationId xmlns:a16="http://schemas.microsoft.com/office/drawing/2014/main" id="{E86B293F-2E51-4004-845F-99DC8B43D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219074</xdr:colOff>
      <xdr:row>12</xdr:row>
      <xdr:rowOff>3585</xdr:rowOff>
    </xdr:from>
    <xdr:to>
      <xdr:col>14</xdr:col>
      <xdr:colOff>234314</xdr:colOff>
      <xdr:row>21</xdr:row>
      <xdr:rowOff>102645</xdr:rowOff>
    </xdr:to>
    <xdr:graphicFrame macro="">
      <xdr:nvGraphicFramePr>
        <xdr:cNvPr id="36" name="Chart 35">
          <a:extLst>
            <a:ext uri="{FF2B5EF4-FFF2-40B4-BE49-F238E27FC236}">
              <a16:creationId xmlns:a16="http://schemas.microsoft.com/office/drawing/2014/main" id="{29050A4F-4CD2-4D63-8676-C42A196D0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180974</xdr:colOff>
      <xdr:row>22</xdr:row>
      <xdr:rowOff>18825</xdr:rowOff>
    </xdr:from>
    <xdr:to>
      <xdr:col>9</xdr:col>
      <xdr:colOff>43814</xdr:colOff>
      <xdr:row>31</xdr:row>
      <xdr:rowOff>102645</xdr:rowOff>
    </xdr:to>
    <xdr:sp macro="" textlink="">
      <xdr:nvSpPr>
        <xdr:cNvPr id="37" name="Rectangle 36">
          <a:extLst>
            <a:ext uri="{FF2B5EF4-FFF2-40B4-BE49-F238E27FC236}">
              <a16:creationId xmlns:a16="http://schemas.microsoft.com/office/drawing/2014/main" id="{57F633AB-B19F-4143-917F-9F78186D3E3E}"/>
            </a:ext>
          </a:extLst>
        </xdr:cNvPr>
        <xdr:cNvSpPr/>
      </xdr:nvSpPr>
      <xdr:spPr>
        <a:xfrm>
          <a:off x="2009774" y="4000275"/>
          <a:ext cx="3520440" cy="171259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14</xdr:col>
      <xdr:colOff>249554</xdr:colOff>
      <xdr:row>11</xdr:row>
      <xdr:rowOff>125505</xdr:rowOff>
    </xdr:from>
    <xdr:to>
      <xdr:col>19</xdr:col>
      <xdr:colOff>501014</xdr:colOff>
      <xdr:row>21</xdr:row>
      <xdr:rowOff>147105</xdr:rowOff>
    </xdr:to>
    <xdr:sp macro="" textlink="">
      <xdr:nvSpPr>
        <xdr:cNvPr id="38" name="Rectangle 37">
          <a:extLst>
            <a:ext uri="{FF2B5EF4-FFF2-40B4-BE49-F238E27FC236}">
              <a16:creationId xmlns:a16="http://schemas.microsoft.com/office/drawing/2014/main" id="{1623670F-6345-492F-9548-9048D24A7B0E}"/>
            </a:ext>
          </a:extLst>
        </xdr:cNvPr>
        <xdr:cNvSpPr/>
      </xdr:nvSpPr>
      <xdr:spPr>
        <a:xfrm>
          <a:off x="8783954" y="2116230"/>
          <a:ext cx="3299460" cy="1831350"/>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14</xdr:col>
      <xdr:colOff>280034</xdr:colOff>
      <xdr:row>11</xdr:row>
      <xdr:rowOff>133125</xdr:rowOff>
    </xdr:from>
    <xdr:to>
      <xdr:col>19</xdr:col>
      <xdr:colOff>478154</xdr:colOff>
      <xdr:row>21</xdr:row>
      <xdr:rowOff>110265</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EEBF938D-BA36-42DF-A6F0-006537A8D4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14434" y="2144805"/>
              <a:ext cx="3246120" cy="1805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112394</xdr:colOff>
      <xdr:row>22</xdr:row>
      <xdr:rowOff>11205</xdr:rowOff>
    </xdr:from>
    <xdr:to>
      <xdr:col>12</xdr:col>
      <xdr:colOff>607694</xdr:colOff>
      <xdr:row>31</xdr:row>
      <xdr:rowOff>95025</xdr:rowOff>
    </xdr:to>
    <xdr:sp macro="" textlink="">
      <xdr:nvSpPr>
        <xdr:cNvPr id="42" name="Rectangle 41">
          <a:extLst>
            <a:ext uri="{FF2B5EF4-FFF2-40B4-BE49-F238E27FC236}">
              <a16:creationId xmlns:a16="http://schemas.microsoft.com/office/drawing/2014/main" id="{3C29134C-554C-40A8-823F-FAC8A3325203}"/>
            </a:ext>
          </a:extLst>
        </xdr:cNvPr>
        <xdr:cNvSpPr/>
      </xdr:nvSpPr>
      <xdr:spPr>
        <a:xfrm>
          <a:off x="5598794" y="3992655"/>
          <a:ext cx="2324100" cy="171259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9</xdr:col>
      <xdr:colOff>150494</xdr:colOff>
      <xdr:row>22</xdr:row>
      <xdr:rowOff>56925</xdr:rowOff>
    </xdr:from>
    <xdr:to>
      <xdr:col>13</xdr:col>
      <xdr:colOff>28574</xdr:colOff>
      <xdr:row>31</xdr:row>
      <xdr:rowOff>49305</xdr:rowOff>
    </xdr:to>
    <xdr:graphicFrame macro="">
      <xdr:nvGraphicFramePr>
        <xdr:cNvPr id="43" name="Chart 42">
          <a:extLst>
            <a:ext uri="{FF2B5EF4-FFF2-40B4-BE49-F238E27FC236}">
              <a16:creationId xmlns:a16="http://schemas.microsoft.com/office/drawing/2014/main" id="{569AB742-BD75-4979-9C55-DD1CB0747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51434</xdr:colOff>
      <xdr:row>22</xdr:row>
      <xdr:rowOff>11205</xdr:rowOff>
    </xdr:from>
    <xdr:to>
      <xdr:col>16</xdr:col>
      <xdr:colOff>514349</xdr:colOff>
      <xdr:row>31</xdr:row>
      <xdr:rowOff>87405</xdr:rowOff>
    </xdr:to>
    <xdr:graphicFrame macro="">
      <xdr:nvGraphicFramePr>
        <xdr:cNvPr id="44" name="Chart 43">
          <a:extLst>
            <a:ext uri="{FF2B5EF4-FFF2-40B4-BE49-F238E27FC236}">
              <a16:creationId xmlns:a16="http://schemas.microsoft.com/office/drawing/2014/main" id="{864A1241-3BFA-4DA0-826C-FF3D943EA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40955</xdr:colOff>
      <xdr:row>22</xdr:row>
      <xdr:rowOff>15011</xdr:rowOff>
    </xdr:from>
    <xdr:to>
      <xdr:col>16</xdr:col>
      <xdr:colOff>536255</xdr:colOff>
      <xdr:row>31</xdr:row>
      <xdr:rowOff>98831</xdr:rowOff>
    </xdr:to>
    <xdr:sp macro="" textlink="">
      <xdr:nvSpPr>
        <xdr:cNvPr id="45" name="Rectangle 44">
          <a:extLst>
            <a:ext uri="{FF2B5EF4-FFF2-40B4-BE49-F238E27FC236}">
              <a16:creationId xmlns:a16="http://schemas.microsoft.com/office/drawing/2014/main" id="{64DDC4D7-0E91-4F23-85ED-0D43CFAB969B}"/>
            </a:ext>
          </a:extLst>
        </xdr:cNvPr>
        <xdr:cNvSpPr/>
      </xdr:nvSpPr>
      <xdr:spPr>
        <a:xfrm>
          <a:off x="7965755" y="3996461"/>
          <a:ext cx="2324100" cy="1712595"/>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0</xdr:col>
      <xdr:colOff>360265</xdr:colOff>
      <xdr:row>31</xdr:row>
      <xdr:rowOff>152399</xdr:rowOff>
    </xdr:from>
    <xdr:to>
      <xdr:col>9</xdr:col>
      <xdr:colOff>50985</xdr:colOff>
      <xdr:row>42</xdr:row>
      <xdr:rowOff>116540</xdr:rowOff>
    </xdr:to>
    <xdr:sp macro="" textlink="">
      <xdr:nvSpPr>
        <xdr:cNvPr id="46" name="Rectangle 45">
          <a:extLst>
            <a:ext uri="{FF2B5EF4-FFF2-40B4-BE49-F238E27FC236}">
              <a16:creationId xmlns:a16="http://schemas.microsoft.com/office/drawing/2014/main" id="{C7C12370-576F-4207-83AF-77CAA41879F3}"/>
            </a:ext>
          </a:extLst>
        </xdr:cNvPr>
        <xdr:cNvSpPr/>
      </xdr:nvSpPr>
      <xdr:spPr>
        <a:xfrm>
          <a:off x="360265" y="5762624"/>
          <a:ext cx="5177120" cy="1954866"/>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0</xdr:col>
      <xdr:colOff>378194</xdr:colOff>
      <xdr:row>32</xdr:row>
      <xdr:rowOff>61853</xdr:rowOff>
    </xdr:from>
    <xdr:to>
      <xdr:col>9</xdr:col>
      <xdr:colOff>33055</xdr:colOff>
      <xdr:row>42</xdr:row>
      <xdr:rowOff>53788</xdr:rowOff>
    </xdr:to>
    <xdr:graphicFrame macro="">
      <xdr:nvGraphicFramePr>
        <xdr:cNvPr id="47" name="Chart 46">
          <a:extLst>
            <a:ext uri="{FF2B5EF4-FFF2-40B4-BE49-F238E27FC236}">
              <a16:creationId xmlns:a16="http://schemas.microsoft.com/office/drawing/2014/main" id="{6FD82CAB-9712-4606-8FBE-7DBEFBBF0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167527</xdr:colOff>
      <xdr:row>32</xdr:row>
      <xdr:rowOff>53787</xdr:rowOff>
    </xdr:from>
    <xdr:to>
      <xdr:col>16</xdr:col>
      <xdr:colOff>561974</xdr:colOff>
      <xdr:row>42</xdr:row>
      <xdr:rowOff>71717</xdr:rowOff>
    </xdr:to>
    <xdr:graphicFrame macro="">
      <xdr:nvGraphicFramePr>
        <xdr:cNvPr id="50" name="Chart 49">
          <a:extLst>
            <a:ext uri="{FF2B5EF4-FFF2-40B4-BE49-F238E27FC236}">
              <a16:creationId xmlns:a16="http://schemas.microsoft.com/office/drawing/2014/main" id="{0D573F44-884B-4F69-8309-A1A5F100E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127183</xdr:colOff>
      <xdr:row>31</xdr:row>
      <xdr:rowOff>152397</xdr:rowOff>
    </xdr:from>
    <xdr:to>
      <xdr:col>16</xdr:col>
      <xdr:colOff>535080</xdr:colOff>
      <xdr:row>42</xdr:row>
      <xdr:rowOff>116538</xdr:rowOff>
    </xdr:to>
    <xdr:sp macro="" textlink="">
      <xdr:nvSpPr>
        <xdr:cNvPr id="51" name="Rectangle 50">
          <a:extLst>
            <a:ext uri="{FF2B5EF4-FFF2-40B4-BE49-F238E27FC236}">
              <a16:creationId xmlns:a16="http://schemas.microsoft.com/office/drawing/2014/main" id="{E214646B-6510-4115-BB10-1789C7D8833A}"/>
            </a:ext>
          </a:extLst>
        </xdr:cNvPr>
        <xdr:cNvSpPr/>
      </xdr:nvSpPr>
      <xdr:spPr>
        <a:xfrm>
          <a:off x="5613583" y="5762622"/>
          <a:ext cx="4675097" cy="1954866"/>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16</xdr:col>
      <xdr:colOff>588868</xdr:colOff>
      <xdr:row>22</xdr:row>
      <xdr:rowOff>8963</xdr:rowOff>
    </xdr:from>
    <xdr:to>
      <xdr:col>19</xdr:col>
      <xdr:colOff>517150</xdr:colOff>
      <xdr:row>42</xdr:row>
      <xdr:rowOff>116540</xdr:rowOff>
    </xdr:to>
    <xdr:sp macro="" textlink="">
      <xdr:nvSpPr>
        <xdr:cNvPr id="54" name="Rectangle 53">
          <a:extLst>
            <a:ext uri="{FF2B5EF4-FFF2-40B4-BE49-F238E27FC236}">
              <a16:creationId xmlns:a16="http://schemas.microsoft.com/office/drawing/2014/main" id="{0E73A5E5-928C-4DAE-AC98-42CDEDF8C764}"/>
            </a:ext>
          </a:extLst>
        </xdr:cNvPr>
        <xdr:cNvSpPr/>
      </xdr:nvSpPr>
      <xdr:spPr>
        <a:xfrm>
          <a:off x="10342468" y="3990413"/>
          <a:ext cx="1757082" cy="3727077"/>
        </a:xfrm>
        <a:prstGeom prst="rect">
          <a:avLst/>
        </a:prstGeom>
        <a:noFill/>
        <a:ln w="3175"/>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IN" sz="1800" b="1"/>
        </a:p>
      </xdr:txBody>
    </xdr:sp>
    <xdr:clientData/>
  </xdr:twoCellAnchor>
  <xdr:twoCellAnchor>
    <xdr:from>
      <xdr:col>17</xdr:col>
      <xdr:colOff>15127</xdr:colOff>
      <xdr:row>23</xdr:row>
      <xdr:rowOff>107578</xdr:rowOff>
    </xdr:from>
    <xdr:to>
      <xdr:col>19</xdr:col>
      <xdr:colOff>463362</xdr:colOff>
      <xdr:row>27</xdr:row>
      <xdr:rowOff>80684</xdr:rowOff>
    </xdr:to>
    <xdr:sp macro="" textlink="Findings!G2">
      <xdr:nvSpPr>
        <xdr:cNvPr id="55" name="TextBox 54">
          <a:extLst>
            <a:ext uri="{FF2B5EF4-FFF2-40B4-BE49-F238E27FC236}">
              <a16:creationId xmlns:a16="http://schemas.microsoft.com/office/drawing/2014/main" id="{96490BAF-1B40-E770-F8D5-E847E6F79C74}"/>
            </a:ext>
          </a:extLst>
        </xdr:cNvPr>
        <xdr:cNvSpPr txBox="1"/>
      </xdr:nvSpPr>
      <xdr:spPr>
        <a:xfrm>
          <a:off x="10378327" y="4270003"/>
          <a:ext cx="1667435" cy="69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Average attrition is </a:t>
          </a:r>
          <a:r>
            <a:rPr lang="en-US" sz="1100" b="0" i="0">
              <a:solidFill>
                <a:schemeClr val="dk1"/>
              </a:solidFill>
              <a:effectLst/>
              <a:latin typeface="+mn-lt"/>
              <a:ea typeface="+mn-ea"/>
              <a:cs typeface="+mn-cs"/>
            </a:rPr>
            <a:t>50.66%</a:t>
          </a:r>
          <a:r>
            <a:rPr lang="en-IN" sz="1100" b="0" i="0" baseline="0">
              <a:solidFill>
                <a:schemeClr val="dk1"/>
              </a:solidFill>
              <a:effectLst/>
              <a:latin typeface="+mn-lt"/>
              <a:ea typeface="+mn-ea"/>
              <a:cs typeface="+mn-cs"/>
            </a:rPr>
            <a:t> </a:t>
          </a:r>
          <a:r>
            <a:rPr lang="en-IN"/>
            <a:t>across all departments.</a:t>
          </a:r>
        </a:p>
        <a:p>
          <a:pPr marL="0" marR="0" lvl="0" indent="0" defTabSz="914400" eaLnBrk="1" fontAlgn="auto" latinLnBrk="0" hangingPunct="1">
            <a:lnSpc>
              <a:spcPct val="100000"/>
            </a:lnSpc>
            <a:spcBef>
              <a:spcPts val="0"/>
            </a:spcBef>
            <a:spcAft>
              <a:spcPts val="0"/>
            </a:spcAft>
            <a:buClrTx/>
            <a:buSzTx/>
            <a:buFontTx/>
            <a:buNone/>
            <a:tabLst/>
            <a:defRPr/>
          </a:pPr>
          <a:endParaRPr lang="en-IN" sz="1100"/>
        </a:p>
        <a:p>
          <a:pPr marL="0" marR="0" lvl="0" indent="0" defTabSz="914400" eaLnBrk="1" fontAlgn="auto" latinLnBrk="0" hangingPunct="1">
            <a:lnSpc>
              <a:spcPct val="100000"/>
            </a:lnSpc>
            <a:spcBef>
              <a:spcPts val="0"/>
            </a:spcBef>
            <a:spcAft>
              <a:spcPts val="0"/>
            </a:spcAft>
            <a:buClrTx/>
            <a:buSzTx/>
            <a:buFontTx/>
            <a:buNone/>
            <a:tabLst/>
            <a:defRPr/>
          </a:pPr>
          <a:endParaRPr lang="en-IN" sz="1100"/>
        </a:p>
      </xdr:txBody>
    </xdr:sp>
    <xdr:clientData/>
  </xdr:twoCellAnchor>
  <xdr:twoCellAnchor>
    <xdr:from>
      <xdr:col>17</xdr:col>
      <xdr:colOff>6162</xdr:colOff>
      <xdr:row>26</xdr:row>
      <xdr:rowOff>98614</xdr:rowOff>
    </xdr:from>
    <xdr:to>
      <xdr:col>19</xdr:col>
      <xdr:colOff>454397</xdr:colOff>
      <xdr:row>29</xdr:row>
      <xdr:rowOff>44825</xdr:rowOff>
    </xdr:to>
    <xdr:sp macro="" textlink="Findings!G3">
      <xdr:nvSpPr>
        <xdr:cNvPr id="56" name="TextBox 55">
          <a:extLst>
            <a:ext uri="{FF2B5EF4-FFF2-40B4-BE49-F238E27FC236}">
              <a16:creationId xmlns:a16="http://schemas.microsoft.com/office/drawing/2014/main" id="{6CE9D9C8-0E04-4E1E-BD0F-C36E453903D3}"/>
            </a:ext>
          </a:extLst>
        </xdr:cNvPr>
        <xdr:cNvSpPr txBox="1"/>
      </xdr:nvSpPr>
      <xdr:spPr>
        <a:xfrm>
          <a:off x="10369362" y="4803964"/>
          <a:ext cx="1667435" cy="489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Finance has highest attrition rate </a:t>
          </a:r>
          <a:fld id="{F3B2FA25-C5BB-437C-B357-6FFCBE6711FF}"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55.56%</a:t>
          </a:fld>
          <a:endParaRPr lang="en-IN" sz="1100"/>
        </a:p>
      </xdr:txBody>
    </xdr:sp>
    <xdr:clientData/>
  </xdr:twoCellAnchor>
  <xdr:twoCellAnchor>
    <xdr:from>
      <xdr:col>17</xdr:col>
      <xdr:colOff>15127</xdr:colOff>
      <xdr:row>22</xdr:row>
      <xdr:rowOff>35862</xdr:rowOff>
    </xdr:from>
    <xdr:to>
      <xdr:col>19</xdr:col>
      <xdr:colOff>463362</xdr:colOff>
      <xdr:row>24</xdr:row>
      <xdr:rowOff>161367</xdr:rowOff>
    </xdr:to>
    <xdr:sp macro="" textlink="Findings!G3">
      <xdr:nvSpPr>
        <xdr:cNvPr id="57" name="TextBox 56">
          <a:extLst>
            <a:ext uri="{FF2B5EF4-FFF2-40B4-BE49-F238E27FC236}">
              <a16:creationId xmlns:a16="http://schemas.microsoft.com/office/drawing/2014/main" id="{4A344F49-D6A3-4CF8-9F04-9C8AD99F832A}"/>
            </a:ext>
          </a:extLst>
        </xdr:cNvPr>
        <xdr:cNvSpPr txBox="1"/>
      </xdr:nvSpPr>
      <xdr:spPr>
        <a:xfrm>
          <a:off x="10378327" y="4017312"/>
          <a:ext cx="1667435" cy="487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t>Key</a:t>
          </a:r>
          <a:r>
            <a:rPr lang="en-IN" sz="1600" b="1" baseline="0"/>
            <a:t> Insights</a:t>
          </a:r>
          <a:endParaRPr lang="en-IN" sz="1600" b="1"/>
        </a:p>
      </xdr:txBody>
    </xdr:sp>
    <xdr:clientData/>
  </xdr:twoCellAnchor>
  <xdr:twoCellAnchor>
    <xdr:from>
      <xdr:col>16</xdr:col>
      <xdr:colOff>606795</xdr:colOff>
      <xdr:row>28</xdr:row>
      <xdr:rowOff>152402</xdr:rowOff>
    </xdr:from>
    <xdr:to>
      <xdr:col>19</xdr:col>
      <xdr:colOff>445430</xdr:colOff>
      <xdr:row>31</xdr:row>
      <xdr:rowOff>98612</xdr:rowOff>
    </xdr:to>
    <xdr:sp macro="" textlink="Findings!G4">
      <xdr:nvSpPr>
        <xdr:cNvPr id="58" name="TextBox 57">
          <a:extLst>
            <a:ext uri="{FF2B5EF4-FFF2-40B4-BE49-F238E27FC236}">
              <a16:creationId xmlns:a16="http://schemas.microsoft.com/office/drawing/2014/main" id="{DCB13914-ADA8-4797-B420-E067E15DA815}"/>
            </a:ext>
          </a:extLst>
        </xdr:cNvPr>
        <xdr:cNvSpPr txBox="1"/>
      </xdr:nvSpPr>
      <xdr:spPr>
        <a:xfrm>
          <a:off x="10360395" y="5219702"/>
          <a:ext cx="1667435" cy="489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Peak attrition observed in  </a:t>
          </a:r>
          <a:fld id="{D5FF40E0-C14F-445C-9B09-059B4E7CF79D}"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Jun</a:t>
          </a:fld>
          <a:endParaRPr lang="en-IN" sz="1100"/>
        </a:p>
      </xdr:txBody>
    </xdr:sp>
    <xdr:clientData/>
  </xdr:twoCellAnchor>
  <xdr:twoCellAnchor>
    <xdr:from>
      <xdr:col>16</xdr:col>
      <xdr:colOff>606794</xdr:colOff>
      <xdr:row>30</xdr:row>
      <xdr:rowOff>161365</xdr:rowOff>
    </xdr:from>
    <xdr:to>
      <xdr:col>19</xdr:col>
      <xdr:colOff>445429</xdr:colOff>
      <xdr:row>34</xdr:row>
      <xdr:rowOff>53787</xdr:rowOff>
    </xdr:to>
    <xdr:sp macro="" textlink="Findings!G5">
      <xdr:nvSpPr>
        <xdr:cNvPr id="59" name="TextBox 58">
          <a:extLst>
            <a:ext uri="{FF2B5EF4-FFF2-40B4-BE49-F238E27FC236}">
              <a16:creationId xmlns:a16="http://schemas.microsoft.com/office/drawing/2014/main" id="{7A3E0743-0EFD-40E6-967B-A274A4E8FCB7}"/>
            </a:ext>
          </a:extLst>
        </xdr:cNvPr>
        <xdr:cNvSpPr txBox="1"/>
      </xdr:nvSpPr>
      <xdr:spPr>
        <a:xfrm>
          <a:off x="10360394" y="5590615"/>
          <a:ext cx="1667435" cy="616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A56809F2-2DF5-4036-BA0E-FA76D4F264A9}" type="TxLink">
            <a:rPr lang="en-US" sz="1100" b="0"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Low</a:t>
          </a:fld>
          <a:r>
            <a:rPr lang="en-US" sz="1100" b="0" i="0" u="none" strike="noStrike">
              <a:solidFill>
                <a:srgbClr val="000000"/>
              </a:solidFill>
              <a:latin typeface="Calibri"/>
              <a:ea typeface="Calibri"/>
              <a:cs typeface="Calibri"/>
            </a:rPr>
            <a:t> </a:t>
          </a:r>
          <a:r>
            <a:rPr lang="en-IN"/>
            <a:t>performers contribute majority of exits</a:t>
          </a:r>
          <a:endParaRPr lang="en-IN" sz="1100"/>
        </a:p>
      </xdr:txBody>
    </xdr:sp>
    <xdr:clientData/>
  </xdr:twoCellAnchor>
  <xdr:twoCellAnchor>
    <xdr:from>
      <xdr:col>16</xdr:col>
      <xdr:colOff>597829</xdr:colOff>
      <xdr:row>34</xdr:row>
      <xdr:rowOff>26895</xdr:rowOff>
    </xdr:from>
    <xdr:to>
      <xdr:col>19</xdr:col>
      <xdr:colOff>436464</xdr:colOff>
      <xdr:row>37</xdr:row>
      <xdr:rowOff>98611</xdr:rowOff>
    </xdr:to>
    <xdr:sp macro="" textlink="Findings!G5">
      <xdr:nvSpPr>
        <xdr:cNvPr id="60" name="TextBox 59">
          <a:extLst>
            <a:ext uri="{FF2B5EF4-FFF2-40B4-BE49-F238E27FC236}">
              <a16:creationId xmlns:a16="http://schemas.microsoft.com/office/drawing/2014/main" id="{145EB9E9-4CC0-4120-B086-A4AAEFF39F7F}"/>
            </a:ext>
          </a:extLst>
        </xdr:cNvPr>
        <xdr:cNvSpPr txBox="1"/>
      </xdr:nvSpPr>
      <xdr:spPr>
        <a:xfrm>
          <a:off x="10351429" y="6180045"/>
          <a:ext cx="1667435" cy="614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Hiring is not matching attrition</a:t>
          </a:r>
          <a:endParaRPr lang="en-IN" sz="1100"/>
        </a:p>
      </xdr:txBody>
    </xdr:sp>
    <xdr:clientData/>
  </xdr:twoCellAnchor>
  <xdr:twoCellAnchor>
    <xdr:from>
      <xdr:col>16</xdr:col>
      <xdr:colOff>597829</xdr:colOff>
      <xdr:row>36</xdr:row>
      <xdr:rowOff>34515</xdr:rowOff>
    </xdr:from>
    <xdr:to>
      <xdr:col>19</xdr:col>
      <xdr:colOff>436464</xdr:colOff>
      <xdr:row>42</xdr:row>
      <xdr:rowOff>152399</xdr:rowOff>
    </xdr:to>
    <xdr:sp macro="" textlink="Findings!G5">
      <xdr:nvSpPr>
        <xdr:cNvPr id="63" name="TextBox 62">
          <a:extLst>
            <a:ext uri="{FF2B5EF4-FFF2-40B4-BE49-F238E27FC236}">
              <a16:creationId xmlns:a16="http://schemas.microsoft.com/office/drawing/2014/main" id="{EB3E8310-A4F8-4DE1-8019-16CACFEEAB39}"/>
            </a:ext>
          </a:extLst>
        </xdr:cNvPr>
        <xdr:cNvSpPr txBox="1"/>
      </xdr:nvSpPr>
      <xdr:spPr>
        <a:xfrm>
          <a:off x="10351429" y="6549615"/>
          <a:ext cx="1667435" cy="1203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t>Attrition remains consistently high (50%) across all departments, indicating an organization-wide retention issue</a:t>
          </a:r>
          <a:endParaRPr lang="en-IN" sz="1100"/>
        </a:p>
      </xdr:txBody>
    </xdr:sp>
    <xdr:clientData/>
  </xdr:twoCellAnchor>
  <xdr:twoCellAnchor>
    <xdr:from>
      <xdr:col>3</xdr:col>
      <xdr:colOff>247650</xdr:colOff>
      <xdr:row>22</xdr:row>
      <xdr:rowOff>66675</xdr:rowOff>
    </xdr:from>
    <xdr:to>
      <xdr:col>9</xdr:col>
      <xdr:colOff>0</xdr:colOff>
      <xdr:row>31</xdr:row>
      <xdr:rowOff>57150</xdr:rowOff>
    </xdr:to>
    <xdr:graphicFrame macro="">
      <xdr:nvGraphicFramePr>
        <xdr:cNvPr id="67" name="Chart 66">
          <a:extLst>
            <a:ext uri="{FF2B5EF4-FFF2-40B4-BE49-F238E27FC236}">
              <a16:creationId xmlns:a16="http://schemas.microsoft.com/office/drawing/2014/main" id="{1667670F-23CF-4D6F-BF35-EEF4BDDA7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373380</xdr:colOff>
      <xdr:row>1</xdr:row>
      <xdr:rowOff>53340</xdr:rowOff>
    </xdr:from>
    <xdr:to>
      <xdr:col>9</xdr:col>
      <xdr:colOff>1341120</xdr:colOff>
      <xdr:row>14</xdr:row>
      <xdr:rowOff>142875</xdr:rowOff>
    </xdr:to>
    <mc:AlternateContent xmlns:mc="http://schemas.openxmlformats.org/markup-compatibility/2006" xmlns:a14="http://schemas.microsoft.com/office/drawing/2010/main">
      <mc:Choice Requires="a14">
        <xdr:graphicFrame macro="">
          <xdr:nvGraphicFramePr>
            <xdr:cNvPr id="24" name="Location 1">
              <a:extLst>
                <a:ext uri="{FF2B5EF4-FFF2-40B4-BE49-F238E27FC236}">
                  <a16:creationId xmlns:a16="http://schemas.microsoft.com/office/drawing/2014/main" id="{34AF27A9-3919-7B89-F3C5-20627F268AC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1529060" y="23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Khante" refreshedDate="46105.595471990739" createdVersion="8" refreshedVersion="8" minRefreshableVersion="3" recordCount="5" xr:uid="{9DBDF7D6-EDB5-4EB6-8447-1D8AD4CF52A4}">
  <cacheSource type="worksheet">
    <worksheetSource ref="F22:I27" sheet="Findings"/>
  </cacheSource>
  <cacheFields count="4">
    <cacheField name="Department" numFmtId="0">
      <sharedItems count="5">
        <s v="Finance"/>
        <s v="HR"/>
        <s v="IT"/>
        <s v="Operations"/>
        <s v="Sales"/>
      </sharedItems>
    </cacheField>
    <cacheField name="Attration" numFmtId="0">
      <sharedItems containsSemiMixedTypes="0" containsString="0" containsNumber="1" containsInteger="1" minValue="41" maxValue="64"/>
    </cacheField>
    <cacheField name="Total Employees by dept" numFmtId="0">
      <sharedItems containsSemiMixedTypes="0" containsString="0" containsNumber="1" containsInteger="1" minValue="81" maxValue="125"/>
    </cacheField>
    <cacheField name="Attreation %" numFmtId="10">
      <sharedItems containsSemiMixedTypes="0" containsString="0" containsNumber="1" minValue="0.44086021505376344" maxValue="0.5555555555555555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Khante" refreshedDate="46105.598940509262" createdVersion="8" refreshedVersion="8" minRefreshableVersion="3" recordCount="500" xr:uid="{66FD1A0A-604D-438C-B15C-04C842426E89}">
  <cacheSource type="worksheet">
    <worksheetSource name="Table1_1"/>
  </cacheSource>
  <cacheFields count="21">
    <cacheField name="Employee_ID" numFmtId="0">
      <sharedItems count="500">
        <s v="EMP0001"/>
        <s v="EMP0002"/>
        <s v="EMP0003"/>
        <s v="EMP0004"/>
        <s v="EMP0005"/>
        <s v="EMP0006"/>
        <s v="EMP0007"/>
        <s v="EMP0008"/>
        <s v="EMP0009"/>
        <s v="EMP0010"/>
        <s v="EMP0011"/>
        <s v="EMP0012"/>
        <s v="EMP0013"/>
        <s v="EMP0014"/>
        <s v="EMP0015"/>
        <s v="EMP0016"/>
        <s v="EMP0017"/>
        <s v="EMP0018"/>
        <s v="EMP0019"/>
        <s v="EMP0020"/>
        <s v="EMP0021"/>
        <s v="EMP0022"/>
        <s v="EMP0023"/>
        <s v="EMP0024"/>
        <s v="EMP0025"/>
        <s v="EMP0026"/>
        <s v="EMP0027"/>
        <s v="EMP0028"/>
        <s v="EMP0029"/>
        <s v="EMP0030"/>
        <s v="EMP0031"/>
        <s v="EMP0032"/>
        <s v="EMP0033"/>
        <s v="EMP0034"/>
        <s v="EMP0035"/>
        <s v="EMP0036"/>
        <s v="EMP0037"/>
        <s v="EMP0038"/>
        <s v="EMP0039"/>
        <s v="EMP0040"/>
        <s v="EMP0041"/>
        <s v="EMP0042"/>
        <s v="EMP0043"/>
        <s v="EMP0044"/>
        <s v="EMP0045"/>
        <s v="EMP0046"/>
        <s v="EMP0047"/>
        <s v="EMP0048"/>
        <s v="EMP0049"/>
        <s v="EMP0050"/>
        <s v="EMP0051"/>
        <s v="EMP0052"/>
        <s v="EMP0053"/>
        <s v="EMP0054"/>
        <s v="EMP0055"/>
        <s v="EMP0056"/>
        <s v="EMP0057"/>
        <s v="EMP0058"/>
        <s v="EMP0059"/>
        <s v="EMP0060"/>
        <s v="EMP0061"/>
        <s v="EMP0062"/>
        <s v="EMP0063"/>
        <s v="EMP0064"/>
        <s v="EMP0065"/>
        <s v="EMP0066"/>
        <s v="EMP0067"/>
        <s v="EMP0068"/>
        <s v="EMP0069"/>
        <s v="EMP0070"/>
        <s v="EMP0071"/>
        <s v="EMP0072"/>
        <s v="EMP0073"/>
        <s v="EMP0074"/>
        <s v="EMP0075"/>
        <s v="EMP0076"/>
        <s v="EMP0077"/>
        <s v="EMP0078"/>
        <s v="EMP0079"/>
        <s v="EMP0080"/>
        <s v="EMP0081"/>
        <s v="EMP0082"/>
        <s v="EMP0083"/>
        <s v="EMP0084"/>
        <s v="EMP0085"/>
        <s v="EMP0086"/>
        <s v="EMP0087"/>
        <s v="EMP0088"/>
        <s v="EMP0089"/>
        <s v="EMP0090"/>
        <s v="EMP0091"/>
        <s v="EMP0092"/>
        <s v="EMP0093"/>
        <s v="EMP0094"/>
        <s v="EMP0095"/>
        <s v="EMP0096"/>
        <s v="EMP0097"/>
        <s v="EMP0098"/>
        <s v="EMP0099"/>
        <s v="EMP0100"/>
        <s v="EMP0101"/>
        <s v="EMP0102"/>
        <s v="EMP0103"/>
        <s v="EMP0104"/>
        <s v="EMP0105"/>
        <s v="EMP0106"/>
        <s v="EMP0107"/>
        <s v="EMP0108"/>
        <s v="EMP0109"/>
        <s v="EMP0110"/>
        <s v="EMP0111"/>
        <s v="EMP0112"/>
        <s v="EMP0113"/>
        <s v="EMP0114"/>
        <s v="EMP0115"/>
        <s v="EMP0116"/>
        <s v="EMP0117"/>
        <s v="EMP0118"/>
        <s v="EMP0119"/>
        <s v="EMP0120"/>
        <s v="EMP0121"/>
        <s v="EMP0122"/>
        <s v="EMP0123"/>
        <s v="EMP0124"/>
        <s v="EMP0125"/>
        <s v="EMP0126"/>
        <s v="EMP0127"/>
        <s v="EMP0128"/>
        <s v="EMP0129"/>
        <s v="EMP0130"/>
        <s v="EMP0131"/>
        <s v="EMP0132"/>
        <s v="EMP0133"/>
        <s v="EMP0134"/>
        <s v="EMP0135"/>
        <s v="EMP0136"/>
        <s v="EMP0137"/>
        <s v="EMP0138"/>
        <s v="EMP0139"/>
        <s v="EMP0140"/>
        <s v="EMP0141"/>
        <s v="EMP0142"/>
        <s v="EMP0143"/>
        <s v="EMP0144"/>
        <s v="EMP0145"/>
        <s v="EMP0146"/>
        <s v="EMP0147"/>
        <s v="EMP0148"/>
        <s v="EMP0149"/>
        <s v="EMP0150"/>
        <s v="EMP0151"/>
        <s v="EMP0152"/>
        <s v="EMP0153"/>
        <s v="EMP0154"/>
        <s v="EMP0155"/>
        <s v="EMP0156"/>
        <s v="EMP0157"/>
        <s v="EMP0158"/>
        <s v="EMP0159"/>
        <s v="EMP0160"/>
        <s v="EMP0161"/>
        <s v="EMP0162"/>
        <s v="EMP0163"/>
        <s v="EMP0164"/>
        <s v="EMP0165"/>
        <s v="EMP0166"/>
        <s v="EMP0167"/>
        <s v="EMP0168"/>
        <s v="EMP0169"/>
        <s v="EMP0170"/>
        <s v="EMP0171"/>
        <s v="EMP0172"/>
        <s v="EMP0173"/>
        <s v="EMP0174"/>
        <s v="EMP0175"/>
        <s v="EMP0176"/>
        <s v="EMP0177"/>
        <s v="EMP0178"/>
        <s v="EMP0179"/>
        <s v="EMP0180"/>
        <s v="EMP0181"/>
        <s v="EMP0182"/>
        <s v="EMP0183"/>
        <s v="EMP0184"/>
        <s v="EMP0185"/>
        <s v="EMP0186"/>
        <s v="EMP0187"/>
        <s v="EMP0188"/>
        <s v="EMP0189"/>
        <s v="EMP0190"/>
        <s v="EMP0191"/>
        <s v="EMP0192"/>
        <s v="EMP0193"/>
        <s v="EMP0194"/>
        <s v="EMP0195"/>
        <s v="EMP0196"/>
        <s v="EMP0197"/>
        <s v="EMP0198"/>
        <s v="EMP0199"/>
        <s v="EMP0200"/>
        <s v="EMP0201"/>
        <s v="EMP0202"/>
        <s v="EMP0203"/>
        <s v="EMP0204"/>
        <s v="EMP0205"/>
        <s v="EMP0206"/>
        <s v="EMP0207"/>
        <s v="EMP0208"/>
        <s v="EMP0209"/>
        <s v="EMP0210"/>
        <s v="EMP0211"/>
        <s v="EMP0212"/>
        <s v="EMP0213"/>
        <s v="EMP0214"/>
        <s v="EMP0215"/>
        <s v="EMP0216"/>
        <s v="EMP0217"/>
        <s v="EMP0218"/>
        <s v="EMP0219"/>
        <s v="EMP0220"/>
        <s v="EMP0221"/>
        <s v="EMP0222"/>
        <s v="EMP0223"/>
        <s v="EMP0224"/>
        <s v="EMP0225"/>
        <s v="EMP0226"/>
        <s v="EMP0227"/>
        <s v="EMP0228"/>
        <s v="EMP0229"/>
        <s v="EMP0230"/>
        <s v="EMP0231"/>
        <s v="EMP0232"/>
        <s v="EMP0233"/>
        <s v="EMP0234"/>
        <s v="EMP0235"/>
        <s v="EMP0236"/>
        <s v="EMP0237"/>
        <s v="EMP0238"/>
        <s v="EMP0239"/>
        <s v="EMP0240"/>
        <s v="EMP0241"/>
        <s v="EMP0242"/>
        <s v="EMP0243"/>
        <s v="EMP0244"/>
        <s v="EMP0245"/>
        <s v="EMP0246"/>
        <s v="EMP0247"/>
        <s v="EMP0248"/>
        <s v="EMP0249"/>
        <s v="EMP0250"/>
        <s v="EMP0251"/>
        <s v="EMP0252"/>
        <s v="EMP0253"/>
        <s v="EMP0254"/>
        <s v="EMP0255"/>
        <s v="EMP0256"/>
        <s v="EMP0257"/>
        <s v="EMP0258"/>
        <s v="EMP0259"/>
        <s v="EMP0260"/>
        <s v="EMP0261"/>
        <s v="EMP0262"/>
        <s v="EMP0263"/>
        <s v="EMP0264"/>
        <s v="EMP0265"/>
        <s v="EMP0266"/>
        <s v="EMP0267"/>
        <s v="EMP0268"/>
        <s v="EMP0269"/>
        <s v="EMP0270"/>
        <s v="EMP0271"/>
        <s v="EMP0272"/>
        <s v="EMP0273"/>
        <s v="EMP0274"/>
        <s v="EMP0275"/>
        <s v="EMP0276"/>
        <s v="EMP0277"/>
        <s v="EMP0278"/>
        <s v="EMP0279"/>
        <s v="EMP0280"/>
        <s v="EMP0281"/>
        <s v="EMP0282"/>
        <s v="EMP0283"/>
        <s v="EMP0284"/>
        <s v="EMP0285"/>
        <s v="EMP0286"/>
        <s v="EMP0287"/>
        <s v="EMP0288"/>
        <s v="EMP0289"/>
        <s v="EMP0290"/>
        <s v="EMP0291"/>
        <s v="EMP0292"/>
        <s v="EMP0293"/>
        <s v="EMP0294"/>
        <s v="EMP0295"/>
        <s v="EMP0296"/>
        <s v="EMP0297"/>
        <s v="EMP0298"/>
        <s v="EMP0299"/>
        <s v="EMP0300"/>
        <s v="EMP0301"/>
        <s v="EMP0302"/>
        <s v="EMP0303"/>
        <s v="EMP0304"/>
        <s v="EMP0305"/>
        <s v="EMP0306"/>
        <s v="EMP0307"/>
        <s v="EMP0308"/>
        <s v="EMP0309"/>
        <s v="EMP0310"/>
        <s v="EMP0311"/>
        <s v="EMP0312"/>
        <s v="EMP0313"/>
        <s v="EMP0314"/>
        <s v="EMP0315"/>
        <s v="EMP0316"/>
        <s v="EMP0317"/>
        <s v="EMP0318"/>
        <s v="EMP0319"/>
        <s v="EMP0320"/>
        <s v="EMP0321"/>
        <s v="EMP0322"/>
        <s v="EMP0323"/>
        <s v="EMP0324"/>
        <s v="EMP0325"/>
        <s v="EMP0326"/>
        <s v="EMP0327"/>
        <s v="EMP0328"/>
        <s v="EMP0329"/>
        <s v="EMP0330"/>
        <s v="EMP0331"/>
        <s v="EMP0332"/>
        <s v="EMP0333"/>
        <s v="EMP0334"/>
        <s v="EMP0335"/>
        <s v="EMP0336"/>
        <s v="EMP0337"/>
        <s v="EMP0338"/>
        <s v="EMP0339"/>
        <s v="EMP0340"/>
        <s v="EMP0341"/>
        <s v="EMP0342"/>
        <s v="EMP0343"/>
        <s v="EMP0344"/>
        <s v="EMP0345"/>
        <s v="EMP0346"/>
        <s v="EMP0347"/>
        <s v="EMP0348"/>
        <s v="EMP0349"/>
        <s v="EMP0350"/>
        <s v="EMP0351"/>
        <s v="EMP0352"/>
        <s v="EMP0353"/>
        <s v="EMP0354"/>
        <s v="EMP0355"/>
        <s v="EMP0356"/>
        <s v="EMP0357"/>
        <s v="EMP0358"/>
        <s v="EMP0359"/>
        <s v="EMP0360"/>
        <s v="EMP0361"/>
        <s v="EMP0362"/>
        <s v="EMP0363"/>
        <s v="EMP0364"/>
        <s v="EMP0365"/>
        <s v="EMP0366"/>
        <s v="EMP0367"/>
        <s v="EMP0368"/>
        <s v="EMP0369"/>
        <s v="EMP0370"/>
        <s v="EMP0371"/>
        <s v="EMP0372"/>
        <s v="EMP0373"/>
        <s v="EMP0374"/>
        <s v="EMP0375"/>
        <s v="EMP0376"/>
        <s v="EMP0377"/>
        <s v="EMP0378"/>
        <s v="EMP0379"/>
        <s v="EMP0380"/>
        <s v="EMP0381"/>
        <s v="EMP0382"/>
        <s v="EMP0383"/>
        <s v="EMP0384"/>
        <s v="EMP0385"/>
        <s v="EMP0386"/>
        <s v="EMP0387"/>
        <s v="EMP0388"/>
        <s v="EMP0389"/>
        <s v="EMP0390"/>
        <s v="EMP0391"/>
        <s v="EMP0392"/>
        <s v="EMP0393"/>
        <s v="EMP0394"/>
        <s v="EMP0395"/>
        <s v="EMP0396"/>
        <s v="EMP0397"/>
        <s v="EMP0398"/>
        <s v="EMP0399"/>
        <s v="EMP0400"/>
        <s v="EMP0401"/>
        <s v="EMP0402"/>
        <s v="EMP0403"/>
        <s v="EMP0404"/>
        <s v="EMP0405"/>
        <s v="EMP0406"/>
        <s v="EMP0407"/>
        <s v="EMP0408"/>
        <s v="EMP0409"/>
        <s v="EMP0410"/>
        <s v="EMP0411"/>
        <s v="EMP0412"/>
        <s v="EMP0413"/>
        <s v="EMP0414"/>
        <s v="EMP0415"/>
        <s v="EMP0416"/>
        <s v="EMP0417"/>
        <s v="EMP0418"/>
        <s v="EMP0419"/>
        <s v="EMP0420"/>
        <s v="EMP0421"/>
        <s v="EMP0422"/>
        <s v="EMP0423"/>
        <s v="EMP0424"/>
        <s v="EMP0425"/>
        <s v="EMP0426"/>
        <s v="EMP0427"/>
        <s v="EMP0428"/>
        <s v="EMP0429"/>
        <s v="EMP0430"/>
        <s v="EMP0431"/>
        <s v="EMP0432"/>
        <s v="EMP0433"/>
        <s v="EMP0434"/>
        <s v="EMP0435"/>
        <s v="EMP0436"/>
        <s v="EMP0437"/>
        <s v="EMP0438"/>
        <s v="EMP0439"/>
        <s v="EMP0440"/>
        <s v="EMP0441"/>
        <s v="EMP0442"/>
        <s v="EMP0443"/>
        <s v="EMP0444"/>
        <s v="EMP0445"/>
        <s v="EMP0446"/>
        <s v="EMP0447"/>
        <s v="EMP0448"/>
        <s v="EMP0449"/>
        <s v="EMP0450"/>
        <s v="EMP0451"/>
        <s v="EMP0452"/>
        <s v="EMP0453"/>
        <s v="EMP0454"/>
        <s v="EMP0455"/>
        <s v="EMP0456"/>
        <s v="EMP0457"/>
        <s v="EMP0458"/>
        <s v="EMP0459"/>
        <s v="EMP0460"/>
        <s v="EMP0461"/>
        <s v="EMP0462"/>
        <s v="EMP0463"/>
        <s v="EMP0464"/>
        <s v="EMP0465"/>
        <s v="EMP0466"/>
        <s v="EMP0467"/>
        <s v="EMP0468"/>
        <s v="EMP0469"/>
        <s v="EMP0470"/>
        <s v="EMP0471"/>
        <s v="EMP0472"/>
        <s v="EMP0473"/>
        <s v="EMP0474"/>
        <s v="EMP0475"/>
        <s v="EMP0476"/>
        <s v="EMP0477"/>
        <s v="EMP0478"/>
        <s v="EMP0479"/>
        <s v="EMP0480"/>
        <s v="EMP0481"/>
        <s v="EMP0482"/>
        <s v="EMP0483"/>
        <s v="EMP0484"/>
        <s v="EMP0485"/>
        <s v="EMP0486"/>
        <s v="EMP0487"/>
        <s v="EMP0488"/>
        <s v="EMP0489"/>
        <s v="EMP0490"/>
        <s v="EMP0491"/>
        <s v="EMP0492"/>
        <s v="EMP0493"/>
        <s v="EMP0494"/>
        <s v="EMP0495"/>
        <s v="EMP0496"/>
        <s v="EMP0497"/>
        <s v="EMP0498"/>
        <s v="EMP0499"/>
        <s v="EMP0500"/>
      </sharedItems>
    </cacheField>
    <cacheField name="Name" numFmtId="0">
      <sharedItems/>
    </cacheField>
    <cacheField name="Department" numFmtId="0">
      <sharedItems count="5">
        <s v="Operations"/>
        <s v="IT"/>
        <s v="Sales"/>
        <s v="HR"/>
        <s v="Finance"/>
      </sharedItems>
    </cacheField>
    <cacheField name="Designation" numFmtId="0">
      <sharedItems/>
    </cacheField>
    <cacheField name="Location" numFmtId="0">
      <sharedItems count="4">
        <s v="Pune"/>
        <s v="Bangalore"/>
        <s v="Mumbai"/>
        <s v="Nagpur"/>
      </sharedItems>
    </cacheField>
    <cacheField name="Joining_Date" numFmtId="0">
      <sharedItems/>
    </cacheField>
    <cacheField name="Joining Month" numFmtId="0">
      <sharedItems count="12">
        <s v="Apr"/>
        <s v="Sep"/>
        <s v="Jul"/>
        <s v="Jun"/>
        <s v="Aug"/>
        <s v="Dec"/>
        <s v="Feb"/>
        <s v="Oct"/>
        <s v="Mar"/>
        <s v="May"/>
        <s v="Jan"/>
        <s v="Nov"/>
      </sharedItems>
    </cacheField>
    <cacheField name="Year" numFmtId="0">
      <sharedItems/>
    </cacheField>
    <cacheField name="Exit_Date" numFmtId="14">
      <sharedItems containsNonDate="0" containsDate="1" containsString="0" containsBlank="1" minDate="2018-05-19T00:00:00" maxDate="2028-12-07T00:00:00" count="240">
        <d v="2021-11-23T00:00:00"/>
        <d v="2026-02-03T00:00:00"/>
        <m/>
        <d v="2025-08-15T00:00:00"/>
        <d v="2025-08-11T00:00:00"/>
        <d v="2028-05-03T00:00:00"/>
        <d v="2023-04-27T00:00:00"/>
        <d v="2020-01-11T00:00:00"/>
        <d v="2022-04-03T00:00:00"/>
        <d v="2025-07-28T00:00:00"/>
        <d v="2020-07-15T00:00:00"/>
        <d v="2022-08-26T00:00:00"/>
        <d v="2021-08-23T00:00:00"/>
        <d v="2022-02-02T00:00:00"/>
        <d v="2020-02-20T00:00:00"/>
        <d v="2021-12-20T00:00:00"/>
        <d v="2024-06-19T00:00:00"/>
        <d v="2025-11-17T00:00:00"/>
        <d v="2025-05-22T00:00:00"/>
        <d v="2023-11-20T00:00:00"/>
        <d v="2024-04-23T00:00:00"/>
        <d v="2019-10-05T00:00:00"/>
        <d v="2019-08-27T00:00:00"/>
        <d v="2021-08-07T00:00:00"/>
        <d v="2025-04-13T00:00:00"/>
        <d v="2026-04-14T00:00:00"/>
        <d v="2025-02-16T00:00:00"/>
        <d v="2025-07-05T00:00:00"/>
        <d v="2022-01-21T00:00:00"/>
        <d v="2027-01-24T00:00:00"/>
        <d v="2021-04-28T00:00:00"/>
        <d v="2025-06-04T00:00:00"/>
        <d v="2028-03-04T00:00:00"/>
        <d v="2022-12-28T00:00:00"/>
        <d v="2024-03-10T00:00:00"/>
        <d v="2024-07-12T00:00:00"/>
        <d v="2027-10-08T00:00:00"/>
        <d v="2019-06-02T00:00:00"/>
        <d v="2021-07-04T00:00:00"/>
        <d v="2027-02-20T00:00:00"/>
        <d v="2021-07-24T00:00:00"/>
        <d v="2022-04-02T00:00:00"/>
        <d v="2022-04-13T00:00:00"/>
        <d v="2023-01-02T00:00:00"/>
        <d v="2026-12-21T00:00:00"/>
        <d v="2025-04-09T00:00:00"/>
        <d v="2025-03-31T00:00:00"/>
        <d v="2025-02-28T00:00:00"/>
        <d v="2020-11-18T00:00:00"/>
        <d v="2026-05-17T00:00:00"/>
        <d v="2021-09-27T00:00:00"/>
        <d v="2019-09-15T00:00:00"/>
        <d v="2027-05-30T00:00:00"/>
        <d v="2025-02-03T00:00:00"/>
        <d v="2023-09-26T00:00:00"/>
        <d v="2024-05-26T00:00:00"/>
        <d v="2023-08-22T00:00:00"/>
        <d v="2024-01-28T00:00:00"/>
        <d v="2025-04-27T00:00:00"/>
        <d v="2020-04-02T00:00:00"/>
        <d v="2026-08-26T00:00:00"/>
        <d v="2022-09-21T00:00:00"/>
        <d v="2019-10-23T00:00:00"/>
        <d v="2019-08-20T00:00:00"/>
        <d v="2020-01-16T00:00:00"/>
        <d v="2024-09-12T00:00:00"/>
        <d v="2019-07-14T00:00:00"/>
        <d v="2024-08-08T00:00:00"/>
        <d v="2021-07-29T00:00:00"/>
        <d v="2022-09-19T00:00:00"/>
        <d v="2023-09-11T00:00:00"/>
        <d v="2022-05-25T00:00:00"/>
        <d v="2024-01-24T00:00:00"/>
        <d v="2024-05-03T00:00:00"/>
        <d v="2020-07-12T00:00:00"/>
        <d v="2021-07-22T00:00:00"/>
        <d v="2025-06-15T00:00:00"/>
        <d v="2021-12-03T00:00:00"/>
        <d v="2026-02-01T00:00:00"/>
        <d v="2020-08-31T00:00:00"/>
        <d v="2026-02-12T00:00:00"/>
        <d v="2024-04-14T00:00:00"/>
        <d v="2025-11-24T00:00:00"/>
        <d v="2025-07-13T00:00:00"/>
        <d v="2019-01-25T00:00:00"/>
        <d v="2023-09-22T00:00:00"/>
        <d v="2023-01-16T00:00:00"/>
        <d v="2023-11-19T00:00:00"/>
        <d v="2022-01-14T00:00:00"/>
        <d v="2022-10-24T00:00:00"/>
        <d v="2022-03-16T00:00:00"/>
        <d v="2024-10-24T00:00:00"/>
        <d v="2027-12-04T00:00:00"/>
        <d v="2021-12-01T00:00:00"/>
        <d v="2020-10-07T00:00:00"/>
        <d v="2021-07-07T00:00:00"/>
        <d v="2024-08-07T00:00:00"/>
        <d v="2023-08-07T00:00:00"/>
        <d v="2023-04-26T00:00:00"/>
        <d v="2025-03-06T00:00:00"/>
        <d v="2026-10-05T00:00:00"/>
        <d v="2022-09-11T00:00:00"/>
        <d v="2023-07-16T00:00:00"/>
        <d v="2022-03-28T00:00:00"/>
        <d v="2021-01-10T00:00:00"/>
        <d v="2020-09-30T00:00:00"/>
        <d v="2022-11-26T00:00:00"/>
        <d v="2024-12-08T00:00:00"/>
        <d v="2024-05-21T00:00:00"/>
        <d v="2027-05-05T00:00:00"/>
        <d v="2022-11-12T00:00:00"/>
        <d v="2021-05-15T00:00:00"/>
        <d v="2020-07-14T00:00:00"/>
        <d v="2023-10-22T00:00:00"/>
        <d v="2028-12-06T00:00:00"/>
        <d v="2025-04-17T00:00:00"/>
        <d v="2022-06-20T00:00:00"/>
        <d v="2021-07-16T00:00:00"/>
        <d v="2027-08-29T00:00:00"/>
        <d v="2020-09-24T00:00:00"/>
        <d v="2024-10-18T00:00:00"/>
        <d v="2021-04-17T00:00:00"/>
        <d v="2024-08-22T00:00:00"/>
        <d v="2023-12-20T00:00:00"/>
        <d v="2024-04-03T00:00:00"/>
        <d v="2022-08-01T00:00:00"/>
        <d v="2026-05-22T00:00:00"/>
        <d v="2024-12-01T00:00:00"/>
        <d v="2022-10-07T00:00:00"/>
        <d v="2021-11-22T00:00:00"/>
        <d v="2023-02-28T00:00:00"/>
        <d v="2022-03-08T00:00:00"/>
        <d v="2024-05-23T00:00:00"/>
        <d v="2028-04-02T00:00:00"/>
        <d v="2024-01-27T00:00:00"/>
        <d v="2021-05-22T00:00:00"/>
        <d v="2022-10-05T00:00:00"/>
        <d v="2023-02-15T00:00:00"/>
        <d v="2021-12-27T00:00:00"/>
        <d v="2027-11-20T00:00:00"/>
        <d v="2019-10-04T00:00:00"/>
        <d v="2021-10-14T00:00:00"/>
        <d v="2025-09-28T00:00:00"/>
        <d v="2024-12-21T00:00:00"/>
        <d v="2027-04-27T00:00:00"/>
        <d v="2021-05-12T00:00:00"/>
        <d v="2028-01-19T00:00:00"/>
        <d v="2024-01-15T00:00:00"/>
        <d v="2025-10-11T00:00:00"/>
        <d v="2023-02-14T00:00:00"/>
        <d v="2019-07-15T00:00:00"/>
        <d v="2022-12-27T00:00:00"/>
        <d v="2024-02-09T00:00:00"/>
        <d v="2023-11-23T00:00:00"/>
        <d v="2023-01-30T00:00:00"/>
        <d v="2021-06-26T00:00:00"/>
        <d v="2024-04-06T00:00:00"/>
        <d v="2024-08-10T00:00:00"/>
        <d v="2024-01-16T00:00:00"/>
        <d v="2023-09-10T00:00:00"/>
        <d v="2022-06-17T00:00:00"/>
        <d v="2025-01-09T00:00:00"/>
        <d v="2023-07-02T00:00:00"/>
        <d v="2024-04-04T00:00:00"/>
        <d v="2026-09-06T00:00:00"/>
        <d v="2019-05-25T00:00:00"/>
        <d v="2020-10-14T00:00:00"/>
        <d v="2026-02-09T00:00:00"/>
        <d v="2021-09-11T00:00:00"/>
        <d v="2022-07-28T00:00:00"/>
        <d v="2018-09-16T00:00:00"/>
        <d v="2024-12-26T00:00:00"/>
        <d v="2024-04-11T00:00:00"/>
        <d v="2019-12-09T00:00:00"/>
        <d v="2022-04-22T00:00:00"/>
        <d v="2021-09-05T00:00:00"/>
        <d v="2023-04-25T00:00:00"/>
        <d v="2019-07-17T00:00:00"/>
        <d v="2027-09-16T00:00:00"/>
        <d v="2021-03-15T00:00:00"/>
        <d v="2024-05-08T00:00:00"/>
        <d v="2018-06-22T00:00:00"/>
        <d v="2027-02-25T00:00:00"/>
        <d v="2021-07-10T00:00:00"/>
        <d v="2028-02-21T00:00:00"/>
        <d v="2026-09-20T00:00:00"/>
        <d v="2025-06-18T00:00:00"/>
        <d v="2023-10-10T00:00:00"/>
        <d v="2025-11-08T00:00:00"/>
        <d v="2018-05-19T00:00:00"/>
        <d v="2020-07-05T00:00:00"/>
        <d v="2021-07-27T00:00:00"/>
        <d v="2027-07-19T00:00:00"/>
        <d v="2020-09-20T00:00:00"/>
        <d v="2026-01-18T00:00:00"/>
        <d v="2024-11-04T00:00:00"/>
        <d v="2022-10-18T00:00:00"/>
        <d v="2026-12-08T00:00:00"/>
        <d v="2024-04-15T00:00:00"/>
        <d v="2019-04-01T00:00:00"/>
        <d v="2023-04-03T00:00:00"/>
        <d v="2026-10-27T00:00:00"/>
        <d v="2021-06-18T00:00:00"/>
        <d v="2020-05-03T00:00:00"/>
        <d v="2021-07-23T00:00:00"/>
        <d v="2021-07-19T00:00:00"/>
        <d v="2024-09-19T00:00:00"/>
        <d v="2025-05-23T00:00:00"/>
        <d v="2024-04-07T00:00:00"/>
        <d v="2022-09-02T00:00:00"/>
        <d v="2026-06-09T00:00:00"/>
        <d v="2026-03-26T00:00:00"/>
        <d v="2026-01-21T00:00:00"/>
        <d v="2025-04-01T00:00:00"/>
        <d v="2024-04-08T00:00:00"/>
        <d v="2019-09-30T00:00:00"/>
        <d v="2021-09-20T00:00:00"/>
        <d v="2023-01-18T00:00:00"/>
        <d v="2024-05-01T00:00:00"/>
        <d v="2022-08-10T00:00:00"/>
        <d v="2023-03-02T00:00:00"/>
        <d v="2025-11-22T00:00:00"/>
        <d v="2023-06-12T00:00:00"/>
        <d v="2025-09-03T00:00:00"/>
        <d v="2024-11-18T00:00:00"/>
        <d v="2024-06-13T00:00:00"/>
        <d v="2018-06-02T00:00:00"/>
        <d v="2022-03-13T00:00:00"/>
        <d v="2025-07-15T00:00:00"/>
        <d v="2023-02-06T00:00:00"/>
        <d v="2024-01-04T00:00:00"/>
        <d v="2019-06-21T00:00:00"/>
        <d v="2022-10-10T00:00:00"/>
        <d v="2025-06-07T00:00:00"/>
        <d v="2022-06-28T00:00:00"/>
        <d v="2019-12-14T00:00:00"/>
        <d v="2025-04-12T00:00:00"/>
        <d v="2023-07-25T00:00:00"/>
        <d v="2023-01-04T00:00:00"/>
        <d v="2020-11-13T00:00:00"/>
      </sharedItems>
      <fieldGroup par="19"/>
    </cacheField>
    <cacheField name="Status" numFmtId="0">
      <sharedItems/>
    </cacheField>
    <cacheField name="Attration Flag" numFmtId="0">
      <sharedItems containsSemiMixedTypes="0" containsString="0" containsNumber="1" containsInteger="1" minValue="0" maxValue="1"/>
    </cacheField>
    <cacheField name="Working" numFmtId="0">
      <sharedItems containsSemiMixedTypes="0" containsString="0" containsNumber="1" containsInteger="1" minValue="0" maxValue="1"/>
    </cacheField>
    <cacheField name="Salary" numFmtId="0">
      <sharedItems containsSemiMixedTypes="0" containsString="0" containsNumber="1" containsInteger="1" minValue="201503" maxValue="1195439"/>
    </cacheField>
    <cacheField name="Performance_Rating" numFmtId="0">
      <sharedItems containsSemiMixedTypes="0" containsString="0" containsNumber="1" minValue="2" maxValue="5"/>
    </cacheField>
    <cacheField name="Manager" numFmtId="0">
      <sharedItems/>
    </cacheField>
    <cacheField name="Attendance_%" numFmtId="0">
      <sharedItems containsSemiMixedTypes="0" containsString="0" containsNumber="1" minValue="75" maxValue="100"/>
    </cacheField>
    <cacheField name="Performance Distribution" numFmtId="0">
      <sharedItems count="2">
        <s v="Low"/>
        <s v="High"/>
      </sharedItems>
    </cacheField>
    <cacheField name="Months (Exit_Date)" numFmtId="0" databaseField="0">
      <fieldGroup base="8">
        <rangePr groupBy="months" startDate="2018-05-19T00:00:00" endDate="2028-12-07T00:00:00"/>
        <groupItems count="14">
          <s v="&lt;19-05-2018"/>
          <s v="Jan"/>
          <s v="Feb"/>
          <s v="Mar"/>
          <s v="Apr"/>
          <s v="May"/>
          <s v="Jun"/>
          <s v="Jul"/>
          <s v="Aug"/>
          <s v="Sep"/>
          <s v="Oct"/>
          <s v="Nov"/>
          <s v="Dec"/>
          <s v="&gt;07-12-2028"/>
        </groupItems>
      </fieldGroup>
    </cacheField>
    <cacheField name="Quarters (Exit_Date)" numFmtId="0" databaseField="0">
      <fieldGroup base="8">
        <rangePr groupBy="quarters" startDate="2018-05-19T00:00:00" endDate="2028-12-07T00:00:00"/>
        <groupItems count="6">
          <s v="&lt;19-05-2018"/>
          <s v="Qtr1"/>
          <s v="Qtr2"/>
          <s v="Qtr3"/>
          <s v="Qtr4"/>
          <s v="&gt;07-12-2028"/>
        </groupItems>
      </fieldGroup>
    </cacheField>
    <cacheField name="Years (Exit_Date)" numFmtId="0" databaseField="0">
      <fieldGroup base="8">
        <rangePr groupBy="years" startDate="2018-05-19T00:00:00" endDate="2028-12-07T00:00:00"/>
        <groupItems count="13">
          <s v="&lt;19-05-2018"/>
          <s v="2018"/>
          <s v="2019"/>
          <s v="2020"/>
          <s v="2021"/>
          <s v="2022"/>
          <s v="2023"/>
          <s v="2024"/>
          <s v="2025"/>
          <s v="2026"/>
          <s v="2027"/>
          <s v="2028"/>
          <s v="&gt;07-12-2028"/>
        </groupItems>
      </fieldGroup>
    </cacheField>
    <cacheField name="Attration %" numFmtId="0" formula="'Attration Flag'/Employee_ID" databaseField="0"/>
  </cacheFields>
  <extLst>
    <ext xmlns:x14="http://schemas.microsoft.com/office/spreadsheetml/2009/9/main" uri="{725AE2AE-9491-48be-B2B4-4EB974FC3084}">
      <x14:pivotCacheDefinition pivotCacheId="18578666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45"/>
    <n v="81"/>
    <n v="0.55555555555555558"/>
  </r>
  <r>
    <x v="1"/>
    <n v="64"/>
    <n v="125"/>
    <n v="0.51200000000000001"/>
  </r>
  <r>
    <x v="2"/>
    <n v="56"/>
    <n v="109"/>
    <n v="0.51376146788990829"/>
  </r>
  <r>
    <x v="3"/>
    <n v="41"/>
    <n v="93"/>
    <n v="0.44086021505376344"/>
  </r>
  <r>
    <x v="4"/>
    <n v="47"/>
    <n v="92"/>
    <n v="0.510869565217391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Employee_1"/>
    <x v="0"/>
    <s v="Executive"/>
    <x v="0"/>
    <s v="2018-04-19"/>
    <x v="0"/>
    <s v="2018"/>
    <x v="0"/>
    <s v="Exited"/>
    <n v="1"/>
    <n v="0"/>
    <n v="1097194"/>
    <n v="3.6"/>
    <s v="Manager D"/>
    <n v="84.8"/>
    <x v="0"/>
  </r>
  <r>
    <x v="1"/>
    <s v="Employee_2"/>
    <x v="1"/>
    <s v="Manager"/>
    <x v="0"/>
    <s v="2023-09-07"/>
    <x v="1"/>
    <s v="2023"/>
    <x v="1"/>
    <s v="Exited"/>
    <n v="1"/>
    <n v="0"/>
    <n v="269845"/>
    <n v="3.6"/>
    <s v="Manager B"/>
    <n v="91.2"/>
    <x v="0"/>
  </r>
  <r>
    <x v="2"/>
    <s v="Employee_3"/>
    <x v="0"/>
    <s v="Executive"/>
    <x v="1"/>
    <s v="2020-07-16"/>
    <x v="2"/>
    <s v="2020"/>
    <x v="2"/>
    <s v="Active"/>
    <n v="0"/>
    <n v="1"/>
    <n v="940921"/>
    <n v="2.4"/>
    <s v="Manager A"/>
    <n v="81.099999999999994"/>
    <x v="0"/>
  </r>
  <r>
    <x v="3"/>
    <s v="Employee_4"/>
    <x v="1"/>
    <s v="Analyst"/>
    <x v="1"/>
    <s v="2018-06-05"/>
    <x v="3"/>
    <s v="2018"/>
    <x v="2"/>
    <s v="Active"/>
    <n v="0"/>
    <n v="1"/>
    <n v="776143"/>
    <n v="4.9000000000000004"/>
    <s v="Manager A"/>
    <n v="81.900000000000006"/>
    <x v="1"/>
  </r>
  <r>
    <x v="4"/>
    <s v="Employee_5"/>
    <x v="2"/>
    <s v="Analyst"/>
    <x v="1"/>
    <s v="2018-04-22"/>
    <x v="0"/>
    <s v="2018"/>
    <x v="2"/>
    <s v="Active"/>
    <n v="0"/>
    <n v="1"/>
    <n v="257947"/>
    <n v="4.7"/>
    <s v="Manager A"/>
    <n v="82"/>
    <x v="1"/>
  </r>
  <r>
    <x v="5"/>
    <s v="Employee_6"/>
    <x v="2"/>
    <s v="Executive"/>
    <x v="1"/>
    <s v="2024-08-02"/>
    <x v="4"/>
    <s v="2024"/>
    <x v="2"/>
    <s v="Active"/>
    <n v="0"/>
    <n v="1"/>
    <n v="566222"/>
    <n v="3.3"/>
    <s v="Manager C"/>
    <n v="75"/>
    <x v="0"/>
  </r>
  <r>
    <x v="6"/>
    <s v="Employee_7"/>
    <x v="2"/>
    <s v="Manager"/>
    <x v="2"/>
    <s v="2023-09-14"/>
    <x v="1"/>
    <s v="2023"/>
    <x v="3"/>
    <s v="Exited"/>
    <n v="1"/>
    <n v="0"/>
    <n v="1069012"/>
    <n v="2.9"/>
    <s v="Manager C"/>
    <n v="86.3"/>
    <x v="0"/>
  </r>
  <r>
    <x v="7"/>
    <s v="Employee_8"/>
    <x v="1"/>
    <s v="Senior Executive"/>
    <x v="3"/>
    <s v="2018-09-02"/>
    <x v="1"/>
    <s v="2018"/>
    <x v="2"/>
    <s v="Active"/>
    <n v="0"/>
    <n v="1"/>
    <n v="920186"/>
    <n v="3.7"/>
    <s v="Manager A"/>
    <n v="87.1"/>
    <x v="0"/>
  </r>
  <r>
    <x v="8"/>
    <s v="Employee_9"/>
    <x v="3"/>
    <s v="Analyst"/>
    <x v="0"/>
    <s v="2019-12-15"/>
    <x v="5"/>
    <s v="2019"/>
    <x v="2"/>
    <s v="Active"/>
    <n v="0"/>
    <n v="1"/>
    <n v="731613"/>
    <n v="4.8"/>
    <s v="Manager A"/>
    <n v="85.8"/>
    <x v="1"/>
  </r>
  <r>
    <x v="9"/>
    <s v="Employee_10"/>
    <x v="2"/>
    <s v="Senior Executive"/>
    <x v="1"/>
    <s v="2019-02-15"/>
    <x v="6"/>
    <s v="2019"/>
    <x v="2"/>
    <s v="Active"/>
    <n v="0"/>
    <n v="1"/>
    <n v="714786"/>
    <n v="4.9000000000000004"/>
    <s v="Manager C"/>
    <n v="76.400000000000006"/>
    <x v="1"/>
  </r>
  <r>
    <x v="10"/>
    <s v="Employee_11"/>
    <x v="4"/>
    <s v="Senior Executive"/>
    <x v="1"/>
    <s v="2018-09-18"/>
    <x v="1"/>
    <s v="2018"/>
    <x v="2"/>
    <s v="Active"/>
    <n v="0"/>
    <n v="1"/>
    <n v="771857"/>
    <n v="3.5"/>
    <s v="Manager C"/>
    <n v="84.2"/>
    <x v="0"/>
  </r>
  <r>
    <x v="11"/>
    <s v="Employee_12"/>
    <x v="1"/>
    <s v="Analyst"/>
    <x v="2"/>
    <s v="2018-10-24"/>
    <x v="7"/>
    <s v="2018"/>
    <x v="2"/>
    <s v="Active"/>
    <n v="0"/>
    <n v="1"/>
    <n v="1017999"/>
    <n v="2.4"/>
    <s v="Manager C"/>
    <n v="87.6"/>
    <x v="0"/>
  </r>
  <r>
    <x v="12"/>
    <s v="Employee_13"/>
    <x v="0"/>
    <s v="Senior Executive"/>
    <x v="3"/>
    <s v="2019-03-29"/>
    <x v="8"/>
    <s v="2019"/>
    <x v="2"/>
    <s v="Active"/>
    <n v="0"/>
    <n v="1"/>
    <n v="220169"/>
    <n v="3.3"/>
    <s v="Manager C"/>
    <n v="77.7"/>
    <x v="0"/>
  </r>
  <r>
    <x v="13"/>
    <s v="Employee_14"/>
    <x v="0"/>
    <s v="Senior Executive"/>
    <x v="1"/>
    <s v="2022-03-23"/>
    <x v="8"/>
    <s v="2022"/>
    <x v="4"/>
    <s v="Exited"/>
    <n v="1"/>
    <n v="0"/>
    <n v="315950"/>
    <n v="3.2"/>
    <s v="Manager D"/>
    <n v="95.4"/>
    <x v="0"/>
  </r>
  <r>
    <x v="14"/>
    <s v="Employee_15"/>
    <x v="1"/>
    <s v="Manager"/>
    <x v="1"/>
    <s v="2018-12-13"/>
    <x v="5"/>
    <s v="2018"/>
    <x v="2"/>
    <s v="Active"/>
    <n v="0"/>
    <n v="1"/>
    <n v="1045488"/>
    <n v="2.5"/>
    <s v="Manager C"/>
    <n v="91.4"/>
    <x v="0"/>
  </r>
  <r>
    <x v="15"/>
    <s v="Employee_16"/>
    <x v="4"/>
    <s v="Senior Executive"/>
    <x v="0"/>
    <s v="2018-07-15"/>
    <x v="2"/>
    <s v="2018"/>
    <x v="2"/>
    <s v="Active"/>
    <n v="0"/>
    <n v="1"/>
    <n v="786178"/>
    <n v="3.5"/>
    <s v="Manager C"/>
    <n v="77.400000000000006"/>
    <x v="0"/>
  </r>
  <r>
    <x v="16"/>
    <s v="Employee_17"/>
    <x v="4"/>
    <s v="Senior Executive"/>
    <x v="1"/>
    <s v="2024-05-01"/>
    <x v="9"/>
    <s v="2024"/>
    <x v="5"/>
    <s v="Exited"/>
    <n v="1"/>
    <n v="0"/>
    <n v="515475"/>
    <n v="3.5"/>
    <s v="Manager B"/>
    <n v="83.8"/>
    <x v="0"/>
  </r>
  <r>
    <x v="17"/>
    <s v="Employee_18"/>
    <x v="1"/>
    <s v="Senior Executive"/>
    <x v="0"/>
    <s v="2021-12-18"/>
    <x v="5"/>
    <s v="2021"/>
    <x v="6"/>
    <s v="Exited"/>
    <n v="1"/>
    <n v="0"/>
    <n v="403143"/>
    <n v="3.4"/>
    <s v="Manager C"/>
    <n v="75.099999999999994"/>
    <x v="0"/>
  </r>
  <r>
    <x v="18"/>
    <s v="Employee_19"/>
    <x v="1"/>
    <s v="Executive"/>
    <x v="0"/>
    <s v="2019-05-11"/>
    <x v="9"/>
    <s v="2019"/>
    <x v="7"/>
    <s v="Exited"/>
    <n v="1"/>
    <n v="0"/>
    <n v="475080"/>
    <n v="4.5999999999999996"/>
    <s v="Manager C"/>
    <n v="97.8"/>
    <x v="1"/>
  </r>
  <r>
    <x v="19"/>
    <s v="Employee_20"/>
    <x v="3"/>
    <s v="Manager"/>
    <x v="1"/>
    <s v="2018-09-01"/>
    <x v="1"/>
    <s v="2018"/>
    <x v="8"/>
    <s v="Exited"/>
    <n v="1"/>
    <n v="0"/>
    <n v="338549"/>
    <n v="2.1"/>
    <s v="Manager A"/>
    <n v="79.900000000000006"/>
    <x v="0"/>
  </r>
  <r>
    <x v="20"/>
    <s v="Employee_21"/>
    <x v="0"/>
    <s v="Analyst"/>
    <x v="3"/>
    <s v="2024-08-20"/>
    <x v="4"/>
    <s v="2024"/>
    <x v="2"/>
    <s v="Active"/>
    <n v="0"/>
    <n v="1"/>
    <n v="614309"/>
    <n v="4.4000000000000004"/>
    <s v="Manager A"/>
    <n v="79.8"/>
    <x v="1"/>
  </r>
  <r>
    <x v="21"/>
    <s v="Employee_22"/>
    <x v="0"/>
    <s v="Executive"/>
    <x v="0"/>
    <s v="2024-08-28"/>
    <x v="4"/>
    <s v="2024"/>
    <x v="2"/>
    <s v="Active"/>
    <n v="0"/>
    <n v="1"/>
    <n v="893780"/>
    <n v="2.7"/>
    <s v="Manager B"/>
    <n v="87.7"/>
    <x v="0"/>
  </r>
  <r>
    <x v="22"/>
    <s v="Employee_23"/>
    <x v="4"/>
    <s v="Senior Executive"/>
    <x v="2"/>
    <s v="2023-01-01"/>
    <x v="10"/>
    <s v="2023"/>
    <x v="9"/>
    <s v="Exited"/>
    <n v="1"/>
    <n v="0"/>
    <n v="474058"/>
    <n v="4.5"/>
    <s v="Manager C"/>
    <n v="92.6"/>
    <x v="1"/>
  </r>
  <r>
    <x v="23"/>
    <s v="Employee_24"/>
    <x v="1"/>
    <s v="Executive"/>
    <x v="1"/>
    <s v="2020-07-05"/>
    <x v="2"/>
    <s v="2020"/>
    <x v="2"/>
    <s v="Active"/>
    <n v="0"/>
    <n v="1"/>
    <n v="967771"/>
    <n v="3.6"/>
    <s v="Manager C"/>
    <n v="80.099999999999994"/>
    <x v="0"/>
  </r>
  <r>
    <x v="24"/>
    <s v="Employee_25"/>
    <x v="3"/>
    <s v="Analyst"/>
    <x v="1"/>
    <s v="2020-06-14"/>
    <x v="3"/>
    <s v="2020"/>
    <x v="10"/>
    <s v="Exited"/>
    <n v="1"/>
    <n v="0"/>
    <n v="462719"/>
    <n v="2.4"/>
    <s v="Manager C"/>
    <n v="96.6"/>
    <x v="0"/>
  </r>
  <r>
    <x v="25"/>
    <s v="Employee_26"/>
    <x v="2"/>
    <s v="Senior Executive"/>
    <x v="0"/>
    <s v="2022-06-23"/>
    <x v="3"/>
    <s v="2022"/>
    <x v="11"/>
    <s v="Exited"/>
    <n v="1"/>
    <n v="0"/>
    <n v="330780"/>
    <n v="2.2000000000000002"/>
    <s v="Manager A"/>
    <n v="95.9"/>
    <x v="0"/>
  </r>
  <r>
    <x v="26"/>
    <s v="Employee_27"/>
    <x v="2"/>
    <s v="Manager"/>
    <x v="0"/>
    <s v="2019-11-07"/>
    <x v="11"/>
    <s v="2019"/>
    <x v="12"/>
    <s v="Exited"/>
    <n v="1"/>
    <n v="0"/>
    <n v="516880"/>
    <n v="3.9"/>
    <s v="Manager D"/>
    <n v="96.9"/>
    <x v="0"/>
  </r>
  <r>
    <x v="27"/>
    <s v="Employee_28"/>
    <x v="3"/>
    <s v="Analyst"/>
    <x v="0"/>
    <s v="2018-02-21"/>
    <x v="6"/>
    <s v="2018"/>
    <x v="13"/>
    <s v="Exited"/>
    <n v="1"/>
    <n v="0"/>
    <n v="639166"/>
    <n v="2.2999999999999998"/>
    <s v="Manager D"/>
    <n v="75.2"/>
    <x v="0"/>
  </r>
  <r>
    <x v="28"/>
    <s v="Employee_29"/>
    <x v="3"/>
    <s v="Senior Executive"/>
    <x v="2"/>
    <s v="2024-02-19"/>
    <x v="6"/>
    <s v="2024"/>
    <x v="2"/>
    <s v="Active"/>
    <n v="0"/>
    <n v="1"/>
    <n v="944641"/>
    <n v="2.8"/>
    <s v="Manager C"/>
    <n v="99.6"/>
    <x v="0"/>
  </r>
  <r>
    <x v="29"/>
    <s v="Employee_30"/>
    <x v="1"/>
    <s v="Manager"/>
    <x v="2"/>
    <s v="2019-10-18"/>
    <x v="7"/>
    <s v="2019"/>
    <x v="14"/>
    <s v="Exited"/>
    <n v="1"/>
    <n v="0"/>
    <n v="1138812"/>
    <n v="5"/>
    <s v="Manager D"/>
    <n v="87.4"/>
    <x v="1"/>
  </r>
  <r>
    <x v="30"/>
    <s v="Employee_31"/>
    <x v="4"/>
    <s v="Executive"/>
    <x v="0"/>
    <s v="2024-10-18"/>
    <x v="7"/>
    <s v="2024"/>
    <x v="2"/>
    <s v="Active"/>
    <n v="0"/>
    <n v="1"/>
    <n v="948550"/>
    <n v="4.4000000000000004"/>
    <s v="Manager C"/>
    <n v="99.3"/>
    <x v="1"/>
  </r>
  <r>
    <x v="31"/>
    <s v="Employee_32"/>
    <x v="2"/>
    <s v="Executive"/>
    <x v="3"/>
    <s v="2019-12-23"/>
    <x v="5"/>
    <s v="2019"/>
    <x v="15"/>
    <s v="Exited"/>
    <n v="1"/>
    <n v="0"/>
    <n v="843035"/>
    <n v="4.7"/>
    <s v="Manager A"/>
    <n v="79.8"/>
    <x v="1"/>
  </r>
  <r>
    <x v="32"/>
    <s v="Employee_33"/>
    <x v="1"/>
    <s v="Manager"/>
    <x v="1"/>
    <s v="2021-10-29"/>
    <x v="7"/>
    <s v="2021"/>
    <x v="16"/>
    <s v="Exited"/>
    <n v="1"/>
    <n v="0"/>
    <n v="742532"/>
    <n v="4.3"/>
    <s v="Manager D"/>
    <n v="98.7"/>
    <x v="1"/>
  </r>
  <r>
    <x v="33"/>
    <s v="Employee_34"/>
    <x v="0"/>
    <s v="Analyst"/>
    <x v="2"/>
    <s v="2023-06-17"/>
    <x v="3"/>
    <s v="2023"/>
    <x v="17"/>
    <s v="Exited"/>
    <n v="1"/>
    <n v="0"/>
    <n v="413138"/>
    <n v="4.0999999999999996"/>
    <s v="Manager B"/>
    <n v="86.9"/>
    <x v="1"/>
  </r>
  <r>
    <x v="34"/>
    <s v="Employee_35"/>
    <x v="3"/>
    <s v="Senior Executive"/>
    <x v="0"/>
    <s v="2021-07-02"/>
    <x v="2"/>
    <s v="2021"/>
    <x v="2"/>
    <s v="Active"/>
    <n v="0"/>
    <n v="1"/>
    <n v="327661"/>
    <n v="2.1"/>
    <s v="Manager A"/>
    <n v="80.599999999999994"/>
    <x v="0"/>
  </r>
  <r>
    <x v="35"/>
    <s v="Employee_36"/>
    <x v="4"/>
    <s v="Executive"/>
    <x v="3"/>
    <s v="2021-11-29"/>
    <x v="11"/>
    <s v="2021"/>
    <x v="18"/>
    <s v="Exited"/>
    <n v="1"/>
    <n v="0"/>
    <n v="959364"/>
    <n v="3.9"/>
    <s v="Manager D"/>
    <n v="83"/>
    <x v="0"/>
  </r>
  <r>
    <x v="36"/>
    <s v="Employee_37"/>
    <x v="3"/>
    <s v="Manager"/>
    <x v="3"/>
    <s v="2021-06-29"/>
    <x v="3"/>
    <s v="2021"/>
    <x v="19"/>
    <s v="Exited"/>
    <n v="1"/>
    <n v="0"/>
    <n v="874828"/>
    <n v="2.8"/>
    <s v="Manager A"/>
    <n v="86.9"/>
    <x v="0"/>
  </r>
  <r>
    <x v="37"/>
    <s v="Employee_38"/>
    <x v="0"/>
    <s v="Manager"/>
    <x v="3"/>
    <s v="2021-06-10"/>
    <x v="3"/>
    <s v="2021"/>
    <x v="2"/>
    <s v="Active"/>
    <n v="0"/>
    <n v="1"/>
    <n v="973248"/>
    <n v="2"/>
    <s v="Manager B"/>
    <n v="97.5"/>
    <x v="0"/>
  </r>
  <r>
    <x v="38"/>
    <s v="Employee_39"/>
    <x v="0"/>
    <s v="Senior Executive"/>
    <x v="0"/>
    <s v="2021-02-10"/>
    <x v="6"/>
    <s v="2021"/>
    <x v="2"/>
    <s v="Active"/>
    <n v="0"/>
    <n v="1"/>
    <n v="457965"/>
    <n v="2.2000000000000002"/>
    <s v="Manager D"/>
    <n v="97.5"/>
    <x v="0"/>
  </r>
  <r>
    <x v="39"/>
    <s v="Employee_40"/>
    <x v="2"/>
    <s v="Manager"/>
    <x v="1"/>
    <s v="2023-03-04"/>
    <x v="8"/>
    <s v="2023"/>
    <x v="2"/>
    <s v="Active"/>
    <n v="0"/>
    <n v="1"/>
    <n v="407958"/>
    <n v="3.1"/>
    <s v="Manager A"/>
    <n v="96"/>
    <x v="0"/>
  </r>
  <r>
    <x v="40"/>
    <s v="Employee_41"/>
    <x v="3"/>
    <s v="Executive"/>
    <x v="3"/>
    <s v="2021-02-12"/>
    <x v="6"/>
    <s v="2021"/>
    <x v="2"/>
    <s v="Active"/>
    <n v="0"/>
    <n v="1"/>
    <n v="739771"/>
    <n v="2"/>
    <s v="Manager D"/>
    <n v="82.8"/>
    <x v="0"/>
  </r>
  <r>
    <x v="41"/>
    <s v="Employee_42"/>
    <x v="4"/>
    <s v="Executive"/>
    <x v="0"/>
    <s v="2021-07-01"/>
    <x v="2"/>
    <s v="2021"/>
    <x v="20"/>
    <s v="Exited"/>
    <n v="1"/>
    <n v="0"/>
    <n v="824601"/>
    <n v="3.6"/>
    <s v="Manager C"/>
    <n v="92.4"/>
    <x v="0"/>
  </r>
  <r>
    <x v="42"/>
    <s v="Employee_43"/>
    <x v="1"/>
    <s v="Analyst"/>
    <x v="3"/>
    <s v="2018-06-16"/>
    <x v="3"/>
    <s v="2018"/>
    <x v="21"/>
    <s v="Exited"/>
    <n v="1"/>
    <n v="0"/>
    <n v="944351"/>
    <n v="3.6"/>
    <s v="Manager D"/>
    <n v="92"/>
    <x v="0"/>
  </r>
  <r>
    <x v="43"/>
    <s v="Employee_44"/>
    <x v="0"/>
    <s v="Manager"/>
    <x v="2"/>
    <s v="2024-08-08"/>
    <x v="4"/>
    <s v="2024"/>
    <x v="2"/>
    <s v="Active"/>
    <n v="0"/>
    <n v="1"/>
    <n v="1083248"/>
    <n v="4.5999999999999996"/>
    <s v="Manager D"/>
    <n v="91.5"/>
    <x v="1"/>
  </r>
  <r>
    <x v="44"/>
    <s v="Employee_45"/>
    <x v="4"/>
    <s v="Senior Executive"/>
    <x v="0"/>
    <s v="2019-03-24"/>
    <x v="8"/>
    <s v="2019"/>
    <x v="22"/>
    <s v="Exited"/>
    <n v="1"/>
    <n v="0"/>
    <n v="264530"/>
    <n v="3.8"/>
    <s v="Manager B"/>
    <n v="82"/>
    <x v="0"/>
  </r>
  <r>
    <x v="45"/>
    <s v="Employee_46"/>
    <x v="1"/>
    <s v="Executive"/>
    <x v="1"/>
    <s v="2018-05-29"/>
    <x v="9"/>
    <s v="2018"/>
    <x v="23"/>
    <s v="Exited"/>
    <n v="1"/>
    <n v="0"/>
    <n v="1014718"/>
    <n v="4.4000000000000004"/>
    <s v="Manager C"/>
    <n v="86.8"/>
    <x v="1"/>
  </r>
  <r>
    <x v="46"/>
    <s v="Employee_47"/>
    <x v="4"/>
    <s v="Analyst"/>
    <x v="3"/>
    <s v="2024-01-17"/>
    <x v="10"/>
    <s v="2024"/>
    <x v="24"/>
    <s v="Exited"/>
    <n v="1"/>
    <n v="0"/>
    <n v="636236"/>
    <n v="2.2000000000000002"/>
    <s v="Manager D"/>
    <n v="94.6"/>
    <x v="0"/>
  </r>
  <r>
    <x v="47"/>
    <s v="Employee_48"/>
    <x v="4"/>
    <s v="Executive"/>
    <x v="2"/>
    <s v="2019-07-05"/>
    <x v="2"/>
    <s v="2019"/>
    <x v="2"/>
    <s v="Active"/>
    <n v="0"/>
    <n v="1"/>
    <n v="613197"/>
    <n v="2.6"/>
    <s v="Manager B"/>
    <n v="99.6"/>
    <x v="0"/>
  </r>
  <r>
    <x v="48"/>
    <s v="Employee_49"/>
    <x v="4"/>
    <s v="Manager"/>
    <x v="3"/>
    <s v="2022-08-30"/>
    <x v="4"/>
    <s v="2022"/>
    <x v="25"/>
    <s v="Exited"/>
    <n v="1"/>
    <n v="0"/>
    <n v="1005861"/>
    <n v="3.4"/>
    <s v="Manager C"/>
    <n v="83.8"/>
    <x v="0"/>
  </r>
  <r>
    <x v="49"/>
    <s v="Employee_50"/>
    <x v="1"/>
    <s v="Senior Executive"/>
    <x v="3"/>
    <s v="2022-12-26"/>
    <x v="5"/>
    <s v="2022"/>
    <x v="26"/>
    <s v="Exited"/>
    <n v="1"/>
    <n v="0"/>
    <n v="899885"/>
    <n v="3.1"/>
    <s v="Manager D"/>
    <n v="83.9"/>
    <x v="0"/>
  </r>
  <r>
    <x v="50"/>
    <s v="Employee_51"/>
    <x v="0"/>
    <s v="Manager"/>
    <x v="3"/>
    <s v="2019-11-01"/>
    <x v="11"/>
    <s v="2019"/>
    <x v="2"/>
    <s v="Active"/>
    <n v="0"/>
    <n v="1"/>
    <n v="990597"/>
    <n v="3.4"/>
    <s v="Manager A"/>
    <n v="88.8"/>
    <x v="0"/>
  </r>
  <r>
    <x v="51"/>
    <s v="Employee_52"/>
    <x v="2"/>
    <s v="Executive"/>
    <x v="2"/>
    <s v="2021-10-02"/>
    <x v="7"/>
    <s v="2021"/>
    <x v="2"/>
    <s v="Active"/>
    <n v="0"/>
    <n v="1"/>
    <n v="950927"/>
    <n v="3.5"/>
    <s v="Manager B"/>
    <n v="94.2"/>
    <x v="0"/>
  </r>
  <r>
    <x v="52"/>
    <s v="Employee_53"/>
    <x v="1"/>
    <s v="Analyst"/>
    <x v="2"/>
    <s v="2021-07-10"/>
    <x v="2"/>
    <s v="2021"/>
    <x v="27"/>
    <s v="Exited"/>
    <n v="1"/>
    <n v="0"/>
    <n v="662828"/>
    <n v="3.5"/>
    <s v="Manager D"/>
    <n v="91.6"/>
    <x v="0"/>
  </r>
  <r>
    <x v="53"/>
    <s v="Employee_54"/>
    <x v="3"/>
    <s v="Analyst"/>
    <x v="3"/>
    <s v="2020-02-11"/>
    <x v="6"/>
    <s v="2020"/>
    <x v="2"/>
    <s v="Active"/>
    <n v="0"/>
    <n v="1"/>
    <n v="999328"/>
    <n v="4.3"/>
    <s v="Manager D"/>
    <n v="97.6"/>
    <x v="1"/>
  </r>
  <r>
    <x v="54"/>
    <s v="Employee_55"/>
    <x v="3"/>
    <s v="Executive"/>
    <x v="0"/>
    <s v="2021-02-08"/>
    <x v="6"/>
    <s v="2021"/>
    <x v="28"/>
    <s v="Exited"/>
    <n v="1"/>
    <n v="0"/>
    <n v="587489"/>
    <n v="3.3"/>
    <s v="Manager B"/>
    <n v="93.3"/>
    <x v="0"/>
  </r>
  <r>
    <x v="55"/>
    <s v="Employee_56"/>
    <x v="3"/>
    <s v="Senior Executive"/>
    <x v="1"/>
    <s v="2023-11-24"/>
    <x v="11"/>
    <s v="2023"/>
    <x v="29"/>
    <s v="Exited"/>
    <n v="1"/>
    <n v="0"/>
    <n v="572489"/>
    <n v="3.3"/>
    <s v="Manager D"/>
    <n v="90.4"/>
    <x v="0"/>
  </r>
  <r>
    <x v="56"/>
    <s v="Employee_57"/>
    <x v="3"/>
    <s v="Executive"/>
    <x v="1"/>
    <s v="2018-11-27"/>
    <x v="11"/>
    <s v="2018"/>
    <x v="30"/>
    <s v="Exited"/>
    <n v="1"/>
    <n v="0"/>
    <n v="317279"/>
    <n v="4.2"/>
    <s v="Manager D"/>
    <n v="97.3"/>
    <x v="1"/>
  </r>
  <r>
    <x v="57"/>
    <s v="Employee_58"/>
    <x v="1"/>
    <s v="Manager"/>
    <x v="1"/>
    <s v="2022-05-10"/>
    <x v="9"/>
    <s v="2022"/>
    <x v="31"/>
    <s v="Exited"/>
    <n v="1"/>
    <n v="0"/>
    <n v="963177"/>
    <n v="4.8"/>
    <s v="Manager B"/>
    <n v="81.900000000000006"/>
    <x v="1"/>
  </r>
  <r>
    <x v="58"/>
    <s v="Employee_59"/>
    <x v="1"/>
    <s v="Senior Executive"/>
    <x v="0"/>
    <s v="2024-12-17"/>
    <x v="5"/>
    <s v="2024"/>
    <x v="32"/>
    <s v="Exited"/>
    <n v="1"/>
    <n v="0"/>
    <n v="1096378"/>
    <n v="4.4000000000000004"/>
    <s v="Manager D"/>
    <n v="98.4"/>
    <x v="1"/>
  </r>
  <r>
    <x v="59"/>
    <s v="Employee_60"/>
    <x v="0"/>
    <s v="Analyst"/>
    <x v="3"/>
    <s v="2021-06-07"/>
    <x v="3"/>
    <s v="2021"/>
    <x v="33"/>
    <s v="Exited"/>
    <n v="1"/>
    <n v="0"/>
    <n v="1174797"/>
    <n v="5"/>
    <s v="Manager B"/>
    <n v="85.2"/>
    <x v="1"/>
  </r>
  <r>
    <x v="60"/>
    <s v="Employee_61"/>
    <x v="2"/>
    <s v="Manager"/>
    <x v="1"/>
    <s v="2020-06-08"/>
    <x v="3"/>
    <s v="2020"/>
    <x v="34"/>
    <s v="Exited"/>
    <n v="1"/>
    <n v="0"/>
    <n v="225574"/>
    <n v="2.6"/>
    <s v="Manager B"/>
    <n v="97.8"/>
    <x v="0"/>
  </r>
  <r>
    <x v="61"/>
    <s v="Employee_62"/>
    <x v="1"/>
    <s v="Senior Executive"/>
    <x v="2"/>
    <s v="2024-01-24"/>
    <x v="10"/>
    <s v="2024"/>
    <x v="35"/>
    <s v="Exited"/>
    <n v="1"/>
    <n v="0"/>
    <n v="1115489"/>
    <n v="2.7"/>
    <s v="Manager A"/>
    <n v="85.8"/>
    <x v="0"/>
  </r>
  <r>
    <x v="62"/>
    <s v="Employee_63"/>
    <x v="4"/>
    <s v="Senior Executive"/>
    <x v="1"/>
    <s v="2024-07-31"/>
    <x v="2"/>
    <s v="2024"/>
    <x v="2"/>
    <s v="Active"/>
    <n v="0"/>
    <n v="1"/>
    <n v="769126"/>
    <n v="4.7"/>
    <s v="Manager A"/>
    <n v="80.5"/>
    <x v="1"/>
  </r>
  <r>
    <x v="63"/>
    <s v="Employee_64"/>
    <x v="4"/>
    <s v="Senior Executive"/>
    <x v="3"/>
    <s v="2024-07-04"/>
    <x v="2"/>
    <s v="2024"/>
    <x v="36"/>
    <s v="Exited"/>
    <n v="1"/>
    <n v="0"/>
    <n v="855001"/>
    <n v="2.2999999999999998"/>
    <s v="Manager D"/>
    <n v="91.9"/>
    <x v="0"/>
  </r>
  <r>
    <x v="64"/>
    <s v="Employee_65"/>
    <x v="4"/>
    <s v="Executive"/>
    <x v="1"/>
    <s v="2023-05-11"/>
    <x v="9"/>
    <s v="2023"/>
    <x v="2"/>
    <s v="Active"/>
    <n v="0"/>
    <n v="1"/>
    <n v="974789"/>
    <n v="2.4"/>
    <s v="Manager A"/>
    <n v="82.2"/>
    <x v="0"/>
  </r>
  <r>
    <x v="65"/>
    <s v="Employee_66"/>
    <x v="0"/>
    <s v="Manager"/>
    <x v="1"/>
    <s v="2019-07-04"/>
    <x v="2"/>
    <s v="2019"/>
    <x v="2"/>
    <s v="Active"/>
    <n v="0"/>
    <n v="1"/>
    <n v="881306"/>
    <n v="3.4"/>
    <s v="Manager C"/>
    <n v="96.3"/>
    <x v="0"/>
  </r>
  <r>
    <x v="66"/>
    <s v="Employee_67"/>
    <x v="1"/>
    <s v="Manager"/>
    <x v="2"/>
    <s v="2021-01-26"/>
    <x v="10"/>
    <s v="2021"/>
    <x v="2"/>
    <s v="Active"/>
    <n v="0"/>
    <n v="1"/>
    <n v="988413"/>
    <n v="2.8"/>
    <s v="Manager A"/>
    <n v="97.9"/>
    <x v="0"/>
  </r>
  <r>
    <x v="67"/>
    <s v="Employee_68"/>
    <x v="1"/>
    <s v="Executive"/>
    <x v="3"/>
    <s v="2022-02-16"/>
    <x v="6"/>
    <s v="2022"/>
    <x v="2"/>
    <s v="Active"/>
    <n v="0"/>
    <n v="1"/>
    <n v="637536"/>
    <n v="3.1"/>
    <s v="Manager D"/>
    <n v="94.1"/>
    <x v="0"/>
  </r>
  <r>
    <x v="68"/>
    <s v="Employee_69"/>
    <x v="3"/>
    <s v="Manager"/>
    <x v="2"/>
    <s v="2019-04-27"/>
    <x v="0"/>
    <s v="2019"/>
    <x v="37"/>
    <s v="Exited"/>
    <n v="1"/>
    <n v="0"/>
    <n v="249513"/>
    <n v="2.9"/>
    <s v="Manager B"/>
    <n v="97.8"/>
    <x v="0"/>
  </r>
  <r>
    <x v="69"/>
    <s v="Employee_70"/>
    <x v="3"/>
    <s v="Executive"/>
    <x v="3"/>
    <s v="2018-02-27"/>
    <x v="6"/>
    <s v="2018"/>
    <x v="38"/>
    <s v="Exited"/>
    <n v="1"/>
    <n v="0"/>
    <n v="468590"/>
    <n v="2.7"/>
    <s v="Manager D"/>
    <n v="80.3"/>
    <x v="0"/>
  </r>
  <r>
    <x v="70"/>
    <s v="Employee_71"/>
    <x v="0"/>
    <s v="Analyst"/>
    <x v="2"/>
    <s v="2019-10-03"/>
    <x v="7"/>
    <s v="2019"/>
    <x v="2"/>
    <s v="Active"/>
    <n v="0"/>
    <n v="1"/>
    <n v="795322"/>
    <n v="4.5999999999999996"/>
    <s v="Manager B"/>
    <n v="96.5"/>
    <x v="1"/>
  </r>
  <r>
    <x v="71"/>
    <s v="Employee_72"/>
    <x v="2"/>
    <s v="Manager"/>
    <x v="2"/>
    <s v="2023-03-12"/>
    <x v="8"/>
    <s v="2023"/>
    <x v="39"/>
    <s v="Exited"/>
    <n v="1"/>
    <n v="0"/>
    <n v="659311"/>
    <n v="4.5999999999999996"/>
    <s v="Manager D"/>
    <n v="78.3"/>
    <x v="1"/>
  </r>
  <r>
    <x v="72"/>
    <s v="Employee_73"/>
    <x v="3"/>
    <s v="Senior Executive"/>
    <x v="0"/>
    <s v="2019-10-18"/>
    <x v="7"/>
    <s v="2019"/>
    <x v="2"/>
    <s v="Active"/>
    <n v="0"/>
    <n v="1"/>
    <n v="808711"/>
    <n v="3.5"/>
    <s v="Manager C"/>
    <n v="90"/>
    <x v="0"/>
  </r>
  <r>
    <x v="73"/>
    <s v="Employee_74"/>
    <x v="0"/>
    <s v="Executive"/>
    <x v="2"/>
    <s v="2022-08-29"/>
    <x v="4"/>
    <s v="2022"/>
    <x v="2"/>
    <s v="Active"/>
    <n v="0"/>
    <n v="1"/>
    <n v="606340"/>
    <n v="2.5"/>
    <s v="Manager D"/>
    <n v="84.7"/>
    <x v="0"/>
  </r>
  <r>
    <x v="74"/>
    <s v="Employee_75"/>
    <x v="2"/>
    <s v="Manager"/>
    <x v="3"/>
    <s v="2019-06-17"/>
    <x v="3"/>
    <s v="2019"/>
    <x v="2"/>
    <s v="Active"/>
    <n v="0"/>
    <n v="1"/>
    <n v="257309"/>
    <n v="2.8"/>
    <s v="Manager D"/>
    <n v="88.7"/>
    <x v="0"/>
  </r>
  <r>
    <x v="75"/>
    <s v="Employee_76"/>
    <x v="1"/>
    <s v="Executive"/>
    <x v="3"/>
    <s v="2021-05-15"/>
    <x v="9"/>
    <s v="2021"/>
    <x v="40"/>
    <s v="Exited"/>
    <n v="1"/>
    <n v="0"/>
    <n v="1145797"/>
    <n v="3.2"/>
    <s v="Manager D"/>
    <n v="98.7"/>
    <x v="0"/>
  </r>
  <r>
    <x v="76"/>
    <s v="Employee_77"/>
    <x v="3"/>
    <s v="Executive"/>
    <x v="1"/>
    <s v="2021-06-14"/>
    <x v="3"/>
    <s v="2021"/>
    <x v="2"/>
    <s v="Active"/>
    <n v="0"/>
    <n v="1"/>
    <n v="671830"/>
    <n v="4.7"/>
    <s v="Manager A"/>
    <n v="99.7"/>
    <x v="1"/>
  </r>
  <r>
    <x v="77"/>
    <s v="Employee_78"/>
    <x v="2"/>
    <s v="Executive"/>
    <x v="1"/>
    <s v="2019-08-14"/>
    <x v="4"/>
    <s v="2019"/>
    <x v="2"/>
    <s v="Active"/>
    <n v="0"/>
    <n v="1"/>
    <n v="1182795"/>
    <n v="4.4000000000000004"/>
    <s v="Manager A"/>
    <n v="99.8"/>
    <x v="1"/>
  </r>
  <r>
    <x v="78"/>
    <s v="Employee_79"/>
    <x v="0"/>
    <s v="Manager"/>
    <x v="0"/>
    <s v="2023-04-12"/>
    <x v="0"/>
    <s v="2023"/>
    <x v="2"/>
    <s v="Active"/>
    <n v="0"/>
    <n v="1"/>
    <n v="1185916"/>
    <n v="4.2"/>
    <s v="Manager C"/>
    <n v="79.2"/>
    <x v="1"/>
  </r>
  <r>
    <x v="79"/>
    <s v="Employee_80"/>
    <x v="4"/>
    <s v="Manager"/>
    <x v="2"/>
    <s v="2021-05-30"/>
    <x v="9"/>
    <s v="2021"/>
    <x v="41"/>
    <s v="Exited"/>
    <n v="1"/>
    <n v="0"/>
    <n v="738299"/>
    <n v="3.6"/>
    <s v="Manager D"/>
    <n v="92.8"/>
    <x v="0"/>
  </r>
  <r>
    <x v="80"/>
    <s v="Employee_81"/>
    <x v="4"/>
    <s v="Manager"/>
    <x v="1"/>
    <s v="2022-02-09"/>
    <x v="6"/>
    <s v="2022"/>
    <x v="42"/>
    <s v="Exited"/>
    <n v="1"/>
    <n v="0"/>
    <n v="747912"/>
    <n v="2.2999999999999998"/>
    <s v="Manager B"/>
    <n v="90.1"/>
    <x v="0"/>
  </r>
  <r>
    <x v="81"/>
    <s v="Employee_82"/>
    <x v="4"/>
    <s v="Analyst"/>
    <x v="1"/>
    <s v="2021-08-27"/>
    <x v="4"/>
    <s v="2021"/>
    <x v="43"/>
    <s v="Exited"/>
    <n v="1"/>
    <n v="0"/>
    <n v="463449"/>
    <n v="4.5999999999999996"/>
    <s v="Manager C"/>
    <n v="93.1"/>
    <x v="1"/>
  </r>
  <r>
    <x v="82"/>
    <s v="Employee_83"/>
    <x v="3"/>
    <s v="Manager"/>
    <x v="3"/>
    <s v="2018-05-30"/>
    <x v="9"/>
    <s v="2018"/>
    <x v="2"/>
    <s v="Active"/>
    <n v="0"/>
    <n v="1"/>
    <n v="795261"/>
    <n v="4.3"/>
    <s v="Manager A"/>
    <n v="84.2"/>
    <x v="1"/>
  </r>
  <r>
    <x v="83"/>
    <s v="Employee_84"/>
    <x v="3"/>
    <s v="Manager"/>
    <x v="2"/>
    <s v="2023-07-04"/>
    <x v="2"/>
    <s v="2023"/>
    <x v="44"/>
    <s v="Exited"/>
    <n v="1"/>
    <n v="0"/>
    <n v="571470"/>
    <n v="3.4"/>
    <s v="Manager C"/>
    <n v="78.7"/>
    <x v="0"/>
  </r>
  <r>
    <x v="84"/>
    <s v="Employee_85"/>
    <x v="1"/>
    <s v="Executive"/>
    <x v="2"/>
    <s v="2020-05-11"/>
    <x v="9"/>
    <s v="2020"/>
    <x v="2"/>
    <s v="Active"/>
    <n v="0"/>
    <n v="1"/>
    <n v="779167"/>
    <n v="3.9"/>
    <s v="Manager A"/>
    <n v="87.8"/>
    <x v="0"/>
  </r>
  <r>
    <x v="85"/>
    <s v="Employee_86"/>
    <x v="1"/>
    <s v="Senior Executive"/>
    <x v="2"/>
    <s v="2023-11-21"/>
    <x v="11"/>
    <s v="2023"/>
    <x v="45"/>
    <s v="Exited"/>
    <n v="1"/>
    <n v="0"/>
    <n v="784680"/>
    <n v="4.5"/>
    <s v="Manager A"/>
    <n v="99.9"/>
    <x v="1"/>
  </r>
  <r>
    <x v="86"/>
    <s v="Employee_87"/>
    <x v="4"/>
    <s v="Analyst"/>
    <x v="2"/>
    <s v="2023-08-24"/>
    <x v="4"/>
    <s v="2023"/>
    <x v="46"/>
    <s v="Exited"/>
    <n v="1"/>
    <n v="0"/>
    <n v="883438"/>
    <n v="2.7"/>
    <s v="Manager A"/>
    <n v="80.7"/>
    <x v="0"/>
  </r>
  <r>
    <x v="87"/>
    <s v="Employee_88"/>
    <x v="4"/>
    <s v="Analyst"/>
    <x v="3"/>
    <s v="2024-07-14"/>
    <x v="2"/>
    <s v="2024"/>
    <x v="47"/>
    <s v="Exited"/>
    <n v="1"/>
    <n v="0"/>
    <n v="1087155"/>
    <n v="4.2"/>
    <s v="Manager A"/>
    <n v="75.8"/>
    <x v="1"/>
  </r>
  <r>
    <x v="88"/>
    <s v="Employee_89"/>
    <x v="2"/>
    <s v="Analyst"/>
    <x v="2"/>
    <s v="2024-09-21"/>
    <x v="1"/>
    <s v="2024"/>
    <x v="2"/>
    <s v="Active"/>
    <n v="0"/>
    <n v="1"/>
    <n v="259947"/>
    <n v="3.6"/>
    <s v="Manager D"/>
    <n v="77.099999999999994"/>
    <x v="0"/>
  </r>
  <r>
    <x v="89"/>
    <s v="Employee_90"/>
    <x v="4"/>
    <s v="Senior Executive"/>
    <x v="3"/>
    <s v="2018-01-31"/>
    <x v="10"/>
    <s v="2018"/>
    <x v="48"/>
    <s v="Exited"/>
    <n v="1"/>
    <n v="0"/>
    <n v="1170208"/>
    <n v="4.8"/>
    <s v="Manager D"/>
    <n v="81.5"/>
    <x v="1"/>
  </r>
  <r>
    <x v="90"/>
    <s v="Employee_91"/>
    <x v="2"/>
    <s v="Manager"/>
    <x v="2"/>
    <s v="2021-07-30"/>
    <x v="2"/>
    <s v="2021"/>
    <x v="2"/>
    <s v="Active"/>
    <n v="0"/>
    <n v="1"/>
    <n v="1164044"/>
    <n v="3.2"/>
    <s v="Manager D"/>
    <n v="88.9"/>
    <x v="0"/>
  </r>
  <r>
    <x v="91"/>
    <s v="Employee_92"/>
    <x v="4"/>
    <s v="Manager"/>
    <x v="2"/>
    <s v="2019-07-06"/>
    <x v="2"/>
    <s v="2019"/>
    <x v="2"/>
    <s v="Active"/>
    <n v="0"/>
    <n v="1"/>
    <n v="646270"/>
    <n v="3.5"/>
    <s v="Manager B"/>
    <n v="98.5"/>
    <x v="0"/>
  </r>
  <r>
    <x v="92"/>
    <s v="Employee_93"/>
    <x v="1"/>
    <s v="Manager"/>
    <x v="1"/>
    <s v="2018-09-13"/>
    <x v="1"/>
    <s v="2018"/>
    <x v="2"/>
    <s v="Active"/>
    <n v="0"/>
    <n v="1"/>
    <n v="998482"/>
    <n v="4.5999999999999996"/>
    <s v="Manager D"/>
    <n v="78.599999999999994"/>
    <x v="1"/>
  </r>
  <r>
    <x v="93"/>
    <s v="Employee_94"/>
    <x v="3"/>
    <s v="Manager"/>
    <x v="1"/>
    <s v="2020-07-07"/>
    <x v="2"/>
    <s v="2020"/>
    <x v="2"/>
    <s v="Active"/>
    <n v="0"/>
    <n v="1"/>
    <n v="403498"/>
    <n v="2.2999999999999998"/>
    <s v="Manager D"/>
    <n v="87.9"/>
    <x v="0"/>
  </r>
  <r>
    <x v="94"/>
    <s v="Employee_95"/>
    <x v="2"/>
    <s v="Executive"/>
    <x v="2"/>
    <s v="2021-03-27"/>
    <x v="8"/>
    <s v="2021"/>
    <x v="2"/>
    <s v="Active"/>
    <n v="0"/>
    <n v="1"/>
    <n v="1193556"/>
    <n v="2.6"/>
    <s v="Manager B"/>
    <n v="76.400000000000006"/>
    <x v="0"/>
  </r>
  <r>
    <x v="95"/>
    <s v="Employee_96"/>
    <x v="2"/>
    <s v="Manager"/>
    <x v="1"/>
    <s v="2022-06-28"/>
    <x v="3"/>
    <s v="2022"/>
    <x v="49"/>
    <s v="Exited"/>
    <n v="1"/>
    <n v="0"/>
    <n v="851139"/>
    <n v="2.5"/>
    <s v="Manager D"/>
    <n v="81.599999999999994"/>
    <x v="0"/>
  </r>
  <r>
    <x v="96"/>
    <s v="Employee_97"/>
    <x v="2"/>
    <s v="Manager"/>
    <x v="3"/>
    <s v="2019-06-15"/>
    <x v="3"/>
    <s v="2019"/>
    <x v="2"/>
    <s v="Active"/>
    <n v="0"/>
    <n v="1"/>
    <n v="413952"/>
    <n v="2.7"/>
    <s v="Manager D"/>
    <n v="80.400000000000006"/>
    <x v="0"/>
  </r>
  <r>
    <x v="97"/>
    <s v="Employee_98"/>
    <x v="3"/>
    <s v="Senior Executive"/>
    <x v="0"/>
    <s v="2018-03-08"/>
    <x v="8"/>
    <s v="2018"/>
    <x v="50"/>
    <s v="Exited"/>
    <n v="1"/>
    <n v="0"/>
    <n v="1096076"/>
    <n v="2.2000000000000002"/>
    <s v="Manager A"/>
    <n v="81.400000000000006"/>
    <x v="0"/>
  </r>
  <r>
    <x v="98"/>
    <s v="Employee_99"/>
    <x v="4"/>
    <s v="Senior Executive"/>
    <x v="2"/>
    <s v="2018-07-28"/>
    <x v="2"/>
    <s v="2018"/>
    <x v="51"/>
    <s v="Exited"/>
    <n v="1"/>
    <n v="0"/>
    <n v="967386"/>
    <n v="3.2"/>
    <s v="Manager C"/>
    <n v="84.2"/>
    <x v="0"/>
  </r>
  <r>
    <x v="99"/>
    <s v="Employee_100"/>
    <x v="3"/>
    <s v="Analyst"/>
    <x v="3"/>
    <s v="2021-09-17"/>
    <x v="1"/>
    <s v="2021"/>
    <x v="2"/>
    <s v="Active"/>
    <n v="0"/>
    <n v="1"/>
    <n v="277446"/>
    <n v="2.9"/>
    <s v="Manager D"/>
    <n v="86"/>
    <x v="0"/>
  </r>
  <r>
    <x v="100"/>
    <s v="Employee_101"/>
    <x v="1"/>
    <s v="Executive"/>
    <x v="2"/>
    <s v="2023-08-01"/>
    <x v="4"/>
    <s v="2023"/>
    <x v="52"/>
    <s v="Exited"/>
    <n v="1"/>
    <n v="0"/>
    <n v="700265"/>
    <n v="3.4"/>
    <s v="Manager C"/>
    <n v="84.9"/>
    <x v="0"/>
  </r>
  <r>
    <x v="101"/>
    <s v="Employee_102"/>
    <x v="0"/>
    <s v="Manager"/>
    <x v="3"/>
    <s v="2020-09-09"/>
    <x v="1"/>
    <s v="2020"/>
    <x v="2"/>
    <s v="Active"/>
    <n v="0"/>
    <n v="1"/>
    <n v="701452"/>
    <n v="3.3"/>
    <s v="Manager C"/>
    <n v="76.400000000000006"/>
    <x v="0"/>
  </r>
  <r>
    <x v="102"/>
    <s v="Employee_103"/>
    <x v="2"/>
    <s v="Executive"/>
    <x v="0"/>
    <s v="2024-07-12"/>
    <x v="2"/>
    <s v="2024"/>
    <x v="53"/>
    <s v="Exited"/>
    <n v="1"/>
    <n v="0"/>
    <n v="678782"/>
    <n v="2.2999999999999998"/>
    <s v="Manager A"/>
    <n v="84.2"/>
    <x v="0"/>
  </r>
  <r>
    <x v="103"/>
    <s v="Employee_104"/>
    <x v="2"/>
    <s v="Manager"/>
    <x v="3"/>
    <s v="2019-09-02"/>
    <x v="1"/>
    <s v="2019"/>
    <x v="54"/>
    <s v="Exited"/>
    <n v="1"/>
    <n v="0"/>
    <n v="591518"/>
    <n v="4.5"/>
    <s v="Manager D"/>
    <n v="78.400000000000006"/>
    <x v="1"/>
  </r>
  <r>
    <x v="104"/>
    <s v="Employee_105"/>
    <x v="1"/>
    <s v="Manager"/>
    <x v="2"/>
    <s v="2021-12-28"/>
    <x v="5"/>
    <s v="2021"/>
    <x v="2"/>
    <s v="Active"/>
    <n v="0"/>
    <n v="1"/>
    <n v="960199"/>
    <n v="4.5"/>
    <s v="Manager B"/>
    <n v="76.099999999999994"/>
    <x v="1"/>
  </r>
  <r>
    <x v="105"/>
    <s v="Employee_106"/>
    <x v="4"/>
    <s v="Senior Executive"/>
    <x v="2"/>
    <s v="2019-07-21"/>
    <x v="2"/>
    <s v="2019"/>
    <x v="2"/>
    <s v="Active"/>
    <n v="0"/>
    <n v="1"/>
    <n v="849971"/>
    <n v="4"/>
    <s v="Manager C"/>
    <n v="80.900000000000006"/>
    <x v="0"/>
  </r>
  <r>
    <x v="106"/>
    <s v="Employee_107"/>
    <x v="3"/>
    <s v="Executive"/>
    <x v="0"/>
    <s v="2018-07-14"/>
    <x v="2"/>
    <s v="2018"/>
    <x v="2"/>
    <s v="Active"/>
    <n v="0"/>
    <n v="1"/>
    <n v="1179332"/>
    <n v="3.6"/>
    <s v="Manager B"/>
    <n v="79.2"/>
    <x v="0"/>
  </r>
  <r>
    <x v="107"/>
    <s v="Employee_108"/>
    <x v="4"/>
    <s v="Senior Executive"/>
    <x v="3"/>
    <s v="2018-11-19"/>
    <x v="11"/>
    <s v="2018"/>
    <x v="2"/>
    <s v="Active"/>
    <n v="0"/>
    <n v="1"/>
    <n v="428549"/>
    <n v="4.8"/>
    <s v="Manager A"/>
    <n v="80.8"/>
    <x v="1"/>
  </r>
  <r>
    <x v="108"/>
    <s v="Employee_109"/>
    <x v="1"/>
    <s v="Executive"/>
    <x v="0"/>
    <s v="2022-01-01"/>
    <x v="10"/>
    <s v="2022"/>
    <x v="55"/>
    <s v="Exited"/>
    <n v="1"/>
    <n v="0"/>
    <n v="350562"/>
    <n v="4.8"/>
    <s v="Manager A"/>
    <n v="83.5"/>
    <x v="1"/>
  </r>
  <r>
    <x v="109"/>
    <s v="Employee_110"/>
    <x v="4"/>
    <s v="Executive"/>
    <x v="1"/>
    <s v="2023-09-02"/>
    <x v="1"/>
    <s v="2023"/>
    <x v="2"/>
    <s v="Active"/>
    <n v="0"/>
    <n v="1"/>
    <n v="670615"/>
    <n v="4.2"/>
    <s v="Manager A"/>
    <n v="81.8"/>
    <x v="1"/>
  </r>
  <r>
    <x v="110"/>
    <s v="Employee_111"/>
    <x v="1"/>
    <s v="Manager"/>
    <x v="2"/>
    <s v="2023-03-24"/>
    <x v="8"/>
    <s v="2023"/>
    <x v="56"/>
    <s v="Exited"/>
    <n v="1"/>
    <n v="0"/>
    <n v="394838"/>
    <n v="2.9"/>
    <s v="Manager A"/>
    <n v="79.5"/>
    <x v="0"/>
  </r>
  <r>
    <x v="111"/>
    <s v="Employee_112"/>
    <x v="1"/>
    <s v="Analyst"/>
    <x v="3"/>
    <s v="2024-02-24"/>
    <x v="6"/>
    <s v="2024"/>
    <x v="2"/>
    <s v="Active"/>
    <n v="0"/>
    <n v="1"/>
    <n v="938628"/>
    <n v="2.8"/>
    <s v="Manager B"/>
    <n v="99.6"/>
    <x v="0"/>
  </r>
  <r>
    <x v="112"/>
    <s v="Employee_113"/>
    <x v="4"/>
    <s v="Senior Executive"/>
    <x v="3"/>
    <s v="2022-07-27"/>
    <x v="2"/>
    <s v="2022"/>
    <x v="2"/>
    <s v="Active"/>
    <n v="0"/>
    <n v="1"/>
    <n v="1081373"/>
    <n v="4.7"/>
    <s v="Manager C"/>
    <n v="93.8"/>
    <x v="1"/>
  </r>
  <r>
    <x v="113"/>
    <s v="Employee_114"/>
    <x v="2"/>
    <s v="Senior Executive"/>
    <x v="0"/>
    <s v="2022-11-11"/>
    <x v="11"/>
    <s v="2022"/>
    <x v="57"/>
    <s v="Exited"/>
    <n v="1"/>
    <n v="0"/>
    <n v="543590"/>
    <n v="3.6"/>
    <s v="Manager D"/>
    <n v="98.2"/>
    <x v="0"/>
  </r>
  <r>
    <x v="114"/>
    <s v="Employee_115"/>
    <x v="3"/>
    <s v="Senior Executive"/>
    <x v="2"/>
    <s v="2024-11-23"/>
    <x v="11"/>
    <s v="2024"/>
    <x v="58"/>
    <s v="Exited"/>
    <n v="1"/>
    <n v="0"/>
    <n v="1023620"/>
    <n v="4.5999999999999996"/>
    <s v="Manager B"/>
    <n v="94.2"/>
    <x v="1"/>
  </r>
  <r>
    <x v="115"/>
    <s v="Employee_116"/>
    <x v="1"/>
    <s v="Analyst"/>
    <x v="0"/>
    <s v="2019-11-19"/>
    <x v="11"/>
    <s v="2019"/>
    <x v="2"/>
    <s v="Active"/>
    <n v="0"/>
    <n v="1"/>
    <n v="1147638"/>
    <n v="4.2"/>
    <s v="Manager A"/>
    <n v="81.599999999999994"/>
    <x v="1"/>
  </r>
  <r>
    <x v="116"/>
    <s v="Employee_117"/>
    <x v="3"/>
    <s v="Manager"/>
    <x v="3"/>
    <s v="2018-12-12"/>
    <x v="5"/>
    <s v="2018"/>
    <x v="59"/>
    <s v="Exited"/>
    <n v="1"/>
    <n v="0"/>
    <n v="1026322"/>
    <n v="2.6"/>
    <s v="Manager A"/>
    <n v="97.7"/>
    <x v="0"/>
  </r>
  <r>
    <x v="117"/>
    <s v="Employee_118"/>
    <x v="2"/>
    <s v="Manager"/>
    <x v="1"/>
    <s v="2021-08-15"/>
    <x v="4"/>
    <s v="2021"/>
    <x v="2"/>
    <s v="Active"/>
    <n v="0"/>
    <n v="1"/>
    <n v="1052799"/>
    <n v="3.8"/>
    <s v="Manager D"/>
    <n v="76.900000000000006"/>
    <x v="0"/>
  </r>
  <r>
    <x v="118"/>
    <s v="Employee_119"/>
    <x v="3"/>
    <s v="Manager"/>
    <x v="0"/>
    <s v="2018-06-04"/>
    <x v="3"/>
    <s v="2018"/>
    <x v="2"/>
    <s v="Active"/>
    <n v="0"/>
    <n v="1"/>
    <n v="615317"/>
    <n v="4.7"/>
    <s v="Manager C"/>
    <n v="84.8"/>
    <x v="1"/>
  </r>
  <r>
    <x v="119"/>
    <s v="Employee_120"/>
    <x v="0"/>
    <s v="Executive"/>
    <x v="3"/>
    <s v="2022-10-17"/>
    <x v="7"/>
    <s v="2022"/>
    <x v="60"/>
    <s v="Exited"/>
    <n v="1"/>
    <n v="0"/>
    <n v="1045603"/>
    <n v="3.5"/>
    <s v="Manager D"/>
    <n v="94.7"/>
    <x v="0"/>
  </r>
  <r>
    <x v="120"/>
    <s v="Employee_121"/>
    <x v="0"/>
    <s v="Executive"/>
    <x v="0"/>
    <s v="2018-06-20"/>
    <x v="3"/>
    <s v="2018"/>
    <x v="2"/>
    <s v="Active"/>
    <n v="0"/>
    <n v="1"/>
    <n v="298951"/>
    <n v="3.4"/>
    <s v="Manager B"/>
    <n v="82"/>
    <x v="0"/>
  </r>
  <r>
    <x v="121"/>
    <s v="Employee_122"/>
    <x v="2"/>
    <s v="Executive"/>
    <x v="0"/>
    <s v="2022-01-09"/>
    <x v="10"/>
    <s v="2022"/>
    <x v="2"/>
    <s v="Active"/>
    <n v="0"/>
    <n v="1"/>
    <n v="373589"/>
    <n v="4.7"/>
    <s v="Manager B"/>
    <n v="94.6"/>
    <x v="1"/>
  </r>
  <r>
    <x v="122"/>
    <s v="Employee_123"/>
    <x v="1"/>
    <s v="Manager"/>
    <x v="3"/>
    <s v="2022-03-14"/>
    <x v="8"/>
    <s v="2022"/>
    <x v="2"/>
    <s v="Active"/>
    <n v="0"/>
    <n v="1"/>
    <n v="1094642"/>
    <n v="2.2000000000000002"/>
    <s v="Manager A"/>
    <n v="87"/>
    <x v="0"/>
  </r>
  <r>
    <x v="123"/>
    <s v="Employee_124"/>
    <x v="0"/>
    <s v="Analyst"/>
    <x v="0"/>
    <s v="2024-08-27"/>
    <x v="4"/>
    <s v="2024"/>
    <x v="2"/>
    <s v="Active"/>
    <n v="0"/>
    <n v="1"/>
    <n v="367768"/>
    <n v="4.9000000000000004"/>
    <s v="Manager A"/>
    <n v="95.5"/>
    <x v="1"/>
  </r>
  <r>
    <x v="124"/>
    <s v="Employee_125"/>
    <x v="2"/>
    <s v="Executive"/>
    <x v="1"/>
    <s v="2020-12-04"/>
    <x v="5"/>
    <s v="2020"/>
    <x v="2"/>
    <s v="Active"/>
    <n v="0"/>
    <n v="1"/>
    <n v="1101682"/>
    <n v="3.4"/>
    <s v="Manager D"/>
    <n v="79.2"/>
    <x v="0"/>
  </r>
  <r>
    <x v="125"/>
    <s v="Employee_126"/>
    <x v="3"/>
    <s v="Analyst"/>
    <x v="0"/>
    <s v="2020-01-06"/>
    <x v="10"/>
    <s v="2020"/>
    <x v="61"/>
    <s v="Exited"/>
    <n v="1"/>
    <n v="0"/>
    <n v="356584"/>
    <n v="2.5"/>
    <s v="Manager A"/>
    <n v="96.8"/>
    <x v="0"/>
  </r>
  <r>
    <x v="126"/>
    <s v="Employee_127"/>
    <x v="3"/>
    <s v="Analyst"/>
    <x v="1"/>
    <s v="2018-09-02"/>
    <x v="1"/>
    <s v="2018"/>
    <x v="2"/>
    <s v="Active"/>
    <n v="0"/>
    <n v="1"/>
    <n v="409364"/>
    <n v="4.3"/>
    <s v="Manager C"/>
    <n v="90.7"/>
    <x v="1"/>
  </r>
  <r>
    <x v="127"/>
    <s v="Employee_128"/>
    <x v="3"/>
    <s v="Senior Executive"/>
    <x v="1"/>
    <s v="2018-12-02"/>
    <x v="5"/>
    <s v="2018"/>
    <x v="62"/>
    <s v="Exited"/>
    <n v="1"/>
    <n v="0"/>
    <n v="1169935"/>
    <n v="3"/>
    <s v="Manager C"/>
    <n v="85"/>
    <x v="0"/>
  </r>
  <r>
    <x v="128"/>
    <s v="Employee_129"/>
    <x v="1"/>
    <s v="Senior Executive"/>
    <x v="1"/>
    <s v="2023-06-05"/>
    <x v="3"/>
    <s v="2023"/>
    <x v="2"/>
    <s v="Active"/>
    <n v="0"/>
    <n v="1"/>
    <n v="653167"/>
    <n v="3.1"/>
    <s v="Manager D"/>
    <n v="84"/>
    <x v="0"/>
  </r>
  <r>
    <x v="129"/>
    <s v="Employee_130"/>
    <x v="3"/>
    <s v="Senior Executive"/>
    <x v="2"/>
    <s v="2018-08-04"/>
    <x v="4"/>
    <s v="2018"/>
    <x v="63"/>
    <s v="Exited"/>
    <n v="1"/>
    <n v="0"/>
    <n v="798984"/>
    <n v="3.2"/>
    <s v="Manager B"/>
    <n v="93.2"/>
    <x v="0"/>
  </r>
  <r>
    <x v="130"/>
    <s v="Employee_131"/>
    <x v="0"/>
    <s v="Executive"/>
    <x v="2"/>
    <s v="2019-03-07"/>
    <x v="8"/>
    <s v="2019"/>
    <x v="64"/>
    <s v="Exited"/>
    <n v="1"/>
    <n v="0"/>
    <n v="1129656"/>
    <n v="4.3"/>
    <s v="Manager B"/>
    <n v="86.4"/>
    <x v="1"/>
  </r>
  <r>
    <x v="131"/>
    <s v="Employee_132"/>
    <x v="1"/>
    <s v="Senior Executive"/>
    <x v="2"/>
    <s v="2020-07-21"/>
    <x v="2"/>
    <s v="2020"/>
    <x v="2"/>
    <s v="Active"/>
    <n v="0"/>
    <n v="1"/>
    <n v="1170468"/>
    <n v="3.7"/>
    <s v="Manager D"/>
    <n v="89.4"/>
    <x v="0"/>
  </r>
  <r>
    <x v="132"/>
    <s v="Employee_133"/>
    <x v="0"/>
    <s v="Executive"/>
    <x v="2"/>
    <s v="2020-10-19"/>
    <x v="7"/>
    <s v="2020"/>
    <x v="2"/>
    <s v="Active"/>
    <n v="0"/>
    <n v="1"/>
    <n v="860465"/>
    <n v="3.9"/>
    <s v="Manager C"/>
    <n v="81.599999999999994"/>
    <x v="0"/>
  </r>
  <r>
    <x v="133"/>
    <s v="Employee_134"/>
    <x v="4"/>
    <s v="Executive"/>
    <x v="1"/>
    <s v="2021-09-14"/>
    <x v="1"/>
    <s v="2021"/>
    <x v="65"/>
    <s v="Exited"/>
    <n v="1"/>
    <n v="0"/>
    <n v="735332"/>
    <n v="4.5999999999999996"/>
    <s v="Manager B"/>
    <n v="95.4"/>
    <x v="1"/>
  </r>
  <r>
    <x v="134"/>
    <s v="Employee_135"/>
    <x v="1"/>
    <s v="Senior Executive"/>
    <x v="3"/>
    <s v="2018-03-21"/>
    <x v="8"/>
    <s v="2018"/>
    <x v="2"/>
    <s v="Active"/>
    <n v="0"/>
    <n v="1"/>
    <n v="1052357"/>
    <n v="2.4"/>
    <s v="Manager A"/>
    <n v="80.3"/>
    <x v="0"/>
  </r>
  <r>
    <x v="135"/>
    <s v="Employee_136"/>
    <x v="0"/>
    <s v="Executive"/>
    <x v="0"/>
    <s v="2018-04-11"/>
    <x v="0"/>
    <s v="2018"/>
    <x v="66"/>
    <s v="Exited"/>
    <n v="1"/>
    <n v="0"/>
    <n v="733451"/>
    <n v="3.5"/>
    <s v="Manager B"/>
    <n v="87.4"/>
    <x v="0"/>
  </r>
  <r>
    <x v="136"/>
    <s v="Employee_137"/>
    <x v="0"/>
    <s v="Manager"/>
    <x v="0"/>
    <s v="2023-03-12"/>
    <x v="8"/>
    <s v="2023"/>
    <x v="67"/>
    <s v="Exited"/>
    <n v="1"/>
    <n v="0"/>
    <n v="805564"/>
    <n v="3.5"/>
    <s v="Manager C"/>
    <n v="85.6"/>
    <x v="0"/>
  </r>
  <r>
    <x v="137"/>
    <s v="Employee_138"/>
    <x v="3"/>
    <s v="Executive"/>
    <x v="1"/>
    <s v="2020-07-07"/>
    <x v="2"/>
    <s v="2020"/>
    <x v="68"/>
    <s v="Exited"/>
    <n v="1"/>
    <n v="0"/>
    <n v="474175"/>
    <n v="3.8"/>
    <s v="Manager D"/>
    <n v="99.6"/>
    <x v="0"/>
  </r>
  <r>
    <x v="138"/>
    <s v="Employee_139"/>
    <x v="2"/>
    <s v="Analyst"/>
    <x v="1"/>
    <s v="2019-07-11"/>
    <x v="2"/>
    <s v="2019"/>
    <x v="69"/>
    <s v="Exited"/>
    <n v="1"/>
    <n v="0"/>
    <n v="435713"/>
    <n v="4"/>
    <s v="Manager D"/>
    <n v="85.9"/>
    <x v="0"/>
  </r>
  <r>
    <x v="139"/>
    <s v="Employee_140"/>
    <x v="1"/>
    <s v="Executive"/>
    <x v="3"/>
    <s v="2022-07-02"/>
    <x v="2"/>
    <s v="2022"/>
    <x v="2"/>
    <s v="Active"/>
    <n v="0"/>
    <n v="1"/>
    <n v="550263"/>
    <n v="4"/>
    <s v="Manager B"/>
    <n v="91.5"/>
    <x v="0"/>
  </r>
  <r>
    <x v="140"/>
    <s v="Employee_141"/>
    <x v="1"/>
    <s v="Senior Executive"/>
    <x v="3"/>
    <s v="2020-07-15"/>
    <x v="2"/>
    <s v="2020"/>
    <x v="2"/>
    <s v="Active"/>
    <n v="0"/>
    <n v="1"/>
    <n v="269790"/>
    <n v="3.5"/>
    <s v="Manager B"/>
    <n v="77"/>
    <x v="0"/>
  </r>
  <r>
    <x v="141"/>
    <s v="Employee_142"/>
    <x v="3"/>
    <s v="Senior Executive"/>
    <x v="1"/>
    <s v="2020-02-09"/>
    <x v="6"/>
    <s v="2020"/>
    <x v="2"/>
    <s v="Active"/>
    <n v="0"/>
    <n v="1"/>
    <n v="557780"/>
    <n v="4.7"/>
    <s v="Manager A"/>
    <n v="75.8"/>
    <x v="1"/>
  </r>
  <r>
    <x v="142"/>
    <s v="Employee_143"/>
    <x v="1"/>
    <s v="Senior Executive"/>
    <x v="2"/>
    <s v="2022-07-06"/>
    <x v="2"/>
    <s v="2022"/>
    <x v="70"/>
    <s v="Exited"/>
    <n v="1"/>
    <n v="0"/>
    <n v="208539"/>
    <n v="4.0999999999999996"/>
    <s v="Manager C"/>
    <n v="82"/>
    <x v="1"/>
  </r>
  <r>
    <x v="143"/>
    <s v="Employee_144"/>
    <x v="0"/>
    <s v="Manager"/>
    <x v="1"/>
    <s v="2019-03-20"/>
    <x v="8"/>
    <s v="2019"/>
    <x v="71"/>
    <s v="Exited"/>
    <n v="1"/>
    <n v="0"/>
    <n v="791427"/>
    <n v="2.7"/>
    <s v="Manager A"/>
    <n v="77.3"/>
    <x v="0"/>
  </r>
  <r>
    <x v="144"/>
    <s v="Employee_145"/>
    <x v="3"/>
    <s v="Analyst"/>
    <x v="3"/>
    <s v="2022-07-01"/>
    <x v="2"/>
    <s v="2022"/>
    <x v="2"/>
    <s v="Active"/>
    <n v="0"/>
    <n v="1"/>
    <n v="1048905"/>
    <n v="2.6"/>
    <s v="Manager C"/>
    <n v="91.5"/>
    <x v="0"/>
  </r>
  <r>
    <x v="145"/>
    <s v="Employee_146"/>
    <x v="3"/>
    <s v="Manager"/>
    <x v="0"/>
    <s v="2020-12-28"/>
    <x v="5"/>
    <s v="2020"/>
    <x v="72"/>
    <s v="Exited"/>
    <n v="1"/>
    <n v="0"/>
    <n v="1128763"/>
    <n v="4.3"/>
    <s v="Manager A"/>
    <n v="89.1"/>
    <x v="1"/>
  </r>
  <r>
    <x v="146"/>
    <s v="Employee_147"/>
    <x v="2"/>
    <s v="Manager"/>
    <x v="0"/>
    <s v="2018-02-02"/>
    <x v="6"/>
    <s v="2018"/>
    <x v="2"/>
    <s v="Active"/>
    <n v="0"/>
    <n v="1"/>
    <n v="868140"/>
    <n v="2.7"/>
    <s v="Manager C"/>
    <n v="98.3"/>
    <x v="0"/>
  </r>
  <r>
    <x v="147"/>
    <s v="Employee_148"/>
    <x v="3"/>
    <s v="Analyst"/>
    <x v="3"/>
    <s v="2023-01-13"/>
    <x v="10"/>
    <s v="2023"/>
    <x v="73"/>
    <s v="Exited"/>
    <n v="1"/>
    <n v="0"/>
    <n v="996229"/>
    <n v="3.9"/>
    <s v="Manager B"/>
    <n v="80.8"/>
    <x v="0"/>
  </r>
  <r>
    <x v="148"/>
    <s v="Employee_149"/>
    <x v="0"/>
    <s v="Senior Executive"/>
    <x v="0"/>
    <s v="2019-04-25"/>
    <x v="0"/>
    <s v="2019"/>
    <x v="2"/>
    <s v="Active"/>
    <n v="0"/>
    <n v="1"/>
    <n v="236335"/>
    <n v="2.7"/>
    <s v="Manager B"/>
    <n v="77.099999999999994"/>
    <x v="0"/>
  </r>
  <r>
    <x v="149"/>
    <s v="Employee_150"/>
    <x v="2"/>
    <s v="Analyst"/>
    <x v="1"/>
    <s v="2018-02-22"/>
    <x v="6"/>
    <s v="2018"/>
    <x v="2"/>
    <s v="Active"/>
    <n v="0"/>
    <n v="1"/>
    <n v="434100"/>
    <n v="4"/>
    <s v="Manager B"/>
    <n v="99.8"/>
    <x v="0"/>
  </r>
  <r>
    <x v="150"/>
    <s v="Employee_151"/>
    <x v="4"/>
    <s v="Senior Executive"/>
    <x v="1"/>
    <s v="2020-01-05"/>
    <x v="10"/>
    <s v="2020"/>
    <x v="74"/>
    <s v="Exited"/>
    <n v="1"/>
    <n v="0"/>
    <n v="271114"/>
    <n v="4.5999999999999996"/>
    <s v="Manager A"/>
    <n v="83.1"/>
    <x v="1"/>
  </r>
  <r>
    <x v="151"/>
    <s v="Employee_152"/>
    <x v="2"/>
    <s v="Analyst"/>
    <x v="3"/>
    <s v="2019-01-25"/>
    <x v="10"/>
    <s v="2019"/>
    <x v="75"/>
    <s v="Exited"/>
    <n v="1"/>
    <n v="0"/>
    <n v="206779"/>
    <n v="3"/>
    <s v="Manager D"/>
    <n v="95.9"/>
    <x v="0"/>
  </r>
  <r>
    <x v="152"/>
    <s v="Employee_153"/>
    <x v="0"/>
    <s v="Manager"/>
    <x v="1"/>
    <s v="2021-12-20"/>
    <x v="5"/>
    <s v="2021"/>
    <x v="57"/>
    <s v="Exited"/>
    <n v="1"/>
    <n v="0"/>
    <n v="742103"/>
    <n v="4.7"/>
    <s v="Manager D"/>
    <n v="88.3"/>
    <x v="1"/>
  </r>
  <r>
    <x v="153"/>
    <s v="Employee_154"/>
    <x v="3"/>
    <s v="Analyst"/>
    <x v="3"/>
    <s v="2023-08-14"/>
    <x v="4"/>
    <s v="2023"/>
    <x v="2"/>
    <s v="Active"/>
    <n v="0"/>
    <n v="1"/>
    <n v="487637"/>
    <n v="2.2000000000000002"/>
    <s v="Manager B"/>
    <n v="89.8"/>
    <x v="0"/>
  </r>
  <r>
    <x v="154"/>
    <s v="Employee_155"/>
    <x v="0"/>
    <s v="Manager"/>
    <x v="3"/>
    <s v="2019-01-26"/>
    <x v="10"/>
    <s v="2019"/>
    <x v="2"/>
    <s v="Active"/>
    <n v="0"/>
    <n v="1"/>
    <n v="562986"/>
    <n v="3.2"/>
    <s v="Manager D"/>
    <n v="88.9"/>
    <x v="0"/>
  </r>
  <r>
    <x v="155"/>
    <s v="Employee_156"/>
    <x v="1"/>
    <s v="Executive"/>
    <x v="1"/>
    <s v="2023-11-14"/>
    <x v="11"/>
    <s v="2023"/>
    <x v="76"/>
    <s v="Exited"/>
    <n v="1"/>
    <n v="0"/>
    <n v="628802"/>
    <n v="4.4000000000000004"/>
    <s v="Manager B"/>
    <n v="76.7"/>
    <x v="1"/>
  </r>
  <r>
    <x v="156"/>
    <s v="Employee_157"/>
    <x v="3"/>
    <s v="Senior Executive"/>
    <x v="2"/>
    <s v="2018-09-07"/>
    <x v="1"/>
    <s v="2018"/>
    <x v="77"/>
    <s v="Exited"/>
    <n v="1"/>
    <n v="0"/>
    <n v="399351"/>
    <n v="4.7"/>
    <s v="Manager A"/>
    <n v="95.9"/>
    <x v="1"/>
  </r>
  <r>
    <x v="157"/>
    <s v="Employee_158"/>
    <x v="2"/>
    <s v="Senior Executive"/>
    <x v="3"/>
    <s v="2020-09-14"/>
    <x v="1"/>
    <s v="2020"/>
    <x v="2"/>
    <s v="Active"/>
    <n v="0"/>
    <n v="1"/>
    <n v="469857"/>
    <n v="3.5"/>
    <s v="Manager C"/>
    <n v="80.599999999999994"/>
    <x v="0"/>
  </r>
  <r>
    <x v="158"/>
    <s v="Employee_159"/>
    <x v="3"/>
    <s v="Analyst"/>
    <x v="3"/>
    <s v="2020-04-19"/>
    <x v="0"/>
    <s v="2020"/>
    <x v="2"/>
    <s v="Active"/>
    <n v="0"/>
    <n v="1"/>
    <n v="577492"/>
    <n v="2.2999999999999998"/>
    <s v="Manager C"/>
    <n v="86.5"/>
    <x v="0"/>
  </r>
  <r>
    <x v="159"/>
    <s v="Employee_160"/>
    <x v="4"/>
    <s v="Senior Executive"/>
    <x v="3"/>
    <s v="2022-11-02"/>
    <x v="11"/>
    <s v="2022"/>
    <x v="2"/>
    <s v="Active"/>
    <n v="0"/>
    <n v="1"/>
    <n v="293732"/>
    <n v="2.8"/>
    <s v="Manager B"/>
    <n v="93"/>
    <x v="0"/>
  </r>
  <r>
    <x v="160"/>
    <s v="Employee_161"/>
    <x v="3"/>
    <s v="Manager"/>
    <x v="1"/>
    <s v="2023-09-26"/>
    <x v="1"/>
    <s v="2023"/>
    <x v="78"/>
    <s v="Exited"/>
    <n v="1"/>
    <n v="0"/>
    <n v="738767"/>
    <n v="4.5"/>
    <s v="Manager B"/>
    <n v="89.3"/>
    <x v="1"/>
  </r>
  <r>
    <x v="161"/>
    <s v="Employee_162"/>
    <x v="0"/>
    <s v="Senior Executive"/>
    <x v="0"/>
    <s v="2021-09-26"/>
    <x v="1"/>
    <s v="2021"/>
    <x v="2"/>
    <s v="Active"/>
    <n v="0"/>
    <n v="1"/>
    <n v="891132"/>
    <n v="3.5"/>
    <s v="Manager A"/>
    <n v="76.900000000000006"/>
    <x v="0"/>
  </r>
  <r>
    <x v="162"/>
    <s v="Employee_163"/>
    <x v="3"/>
    <s v="Executive"/>
    <x v="3"/>
    <s v="2019-01-30"/>
    <x v="10"/>
    <s v="2019"/>
    <x v="2"/>
    <s v="Active"/>
    <n v="0"/>
    <n v="1"/>
    <n v="955154"/>
    <n v="3.1"/>
    <s v="Manager B"/>
    <n v="83.2"/>
    <x v="0"/>
  </r>
  <r>
    <x v="163"/>
    <s v="Employee_164"/>
    <x v="1"/>
    <s v="Executive"/>
    <x v="2"/>
    <s v="2018-11-23"/>
    <x v="11"/>
    <s v="2018"/>
    <x v="79"/>
    <s v="Exited"/>
    <n v="1"/>
    <n v="0"/>
    <n v="754040"/>
    <n v="3.1"/>
    <s v="Manager A"/>
    <n v="79.8"/>
    <x v="0"/>
  </r>
  <r>
    <x v="164"/>
    <s v="Employee_165"/>
    <x v="2"/>
    <s v="Senior Executive"/>
    <x v="0"/>
    <s v="2023-06-20"/>
    <x v="3"/>
    <s v="2023"/>
    <x v="80"/>
    <s v="Exited"/>
    <n v="1"/>
    <n v="0"/>
    <n v="447729"/>
    <n v="4.9000000000000004"/>
    <s v="Manager A"/>
    <n v="76.900000000000006"/>
    <x v="1"/>
  </r>
  <r>
    <x v="165"/>
    <s v="Employee_166"/>
    <x v="0"/>
    <s v="Executive"/>
    <x v="0"/>
    <s v="2023-03-07"/>
    <x v="8"/>
    <s v="2023"/>
    <x v="81"/>
    <s v="Exited"/>
    <n v="1"/>
    <n v="0"/>
    <n v="502095"/>
    <n v="2.7"/>
    <s v="Manager D"/>
    <n v="82.2"/>
    <x v="0"/>
  </r>
  <r>
    <x v="166"/>
    <s v="Employee_167"/>
    <x v="3"/>
    <s v="Manager"/>
    <x v="0"/>
    <s v="2018-04-15"/>
    <x v="0"/>
    <s v="2018"/>
    <x v="2"/>
    <s v="Active"/>
    <n v="0"/>
    <n v="1"/>
    <n v="1117022"/>
    <n v="3.6"/>
    <s v="Manager B"/>
    <n v="93.5"/>
    <x v="0"/>
  </r>
  <r>
    <x v="167"/>
    <s v="Employee_168"/>
    <x v="1"/>
    <s v="Analyst"/>
    <x v="2"/>
    <s v="2023-10-11"/>
    <x v="7"/>
    <s v="2023"/>
    <x v="82"/>
    <s v="Exited"/>
    <n v="1"/>
    <n v="0"/>
    <n v="1107383"/>
    <n v="4"/>
    <s v="Manager A"/>
    <n v="82"/>
    <x v="0"/>
  </r>
  <r>
    <x v="168"/>
    <s v="Employee_169"/>
    <x v="0"/>
    <s v="Analyst"/>
    <x v="3"/>
    <s v="2020-02-13"/>
    <x v="6"/>
    <s v="2020"/>
    <x v="2"/>
    <s v="Active"/>
    <n v="0"/>
    <n v="1"/>
    <n v="513076"/>
    <n v="3.2"/>
    <s v="Manager C"/>
    <n v="93.1"/>
    <x v="0"/>
  </r>
  <r>
    <x v="169"/>
    <s v="Employee_170"/>
    <x v="2"/>
    <s v="Senior Executive"/>
    <x v="3"/>
    <s v="2022-09-04"/>
    <x v="1"/>
    <s v="2022"/>
    <x v="2"/>
    <s v="Active"/>
    <n v="0"/>
    <n v="1"/>
    <n v="628741"/>
    <n v="2.6"/>
    <s v="Manager A"/>
    <n v="93.9"/>
    <x v="0"/>
  </r>
  <r>
    <x v="170"/>
    <s v="Employee_171"/>
    <x v="0"/>
    <s v="Executive"/>
    <x v="0"/>
    <s v="2022-12-18"/>
    <x v="5"/>
    <s v="2022"/>
    <x v="83"/>
    <s v="Exited"/>
    <n v="1"/>
    <n v="0"/>
    <n v="1058318"/>
    <n v="2.1"/>
    <s v="Manager C"/>
    <n v="96.5"/>
    <x v="0"/>
  </r>
  <r>
    <x v="171"/>
    <s v="Employee_172"/>
    <x v="1"/>
    <s v="Senior Executive"/>
    <x v="2"/>
    <s v="2024-07-06"/>
    <x v="2"/>
    <s v="2024"/>
    <x v="2"/>
    <s v="Active"/>
    <n v="0"/>
    <n v="1"/>
    <n v="944405"/>
    <n v="4.3"/>
    <s v="Manager D"/>
    <n v="79.900000000000006"/>
    <x v="1"/>
  </r>
  <r>
    <x v="172"/>
    <s v="Employee_173"/>
    <x v="4"/>
    <s v="Senior Executive"/>
    <x v="3"/>
    <s v="2020-12-11"/>
    <x v="5"/>
    <s v="2020"/>
    <x v="2"/>
    <s v="Active"/>
    <n v="0"/>
    <n v="1"/>
    <n v="949886"/>
    <n v="5"/>
    <s v="Manager B"/>
    <n v="83.5"/>
    <x v="1"/>
  </r>
  <r>
    <x v="173"/>
    <s v="Employee_174"/>
    <x v="2"/>
    <s v="Analyst"/>
    <x v="3"/>
    <s v="2018-05-28"/>
    <x v="9"/>
    <s v="2018"/>
    <x v="84"/>
    <s v="Exited"/>
    <n v="1"/>
    <n v="0"/>
    <n v="1005364"/>
    <n v="4.0999999999999996"/>
    <s v="Manager C"/>
    <n v="75.7"/>
    <x v="1"/>
  </r>
  <r>
    <x v="174"/>
    <s v="Employee_175"/>
    <x v="3"/>
    <s v="Executive"/>
    <x v="1"/>
    <s v="2024-04-23"/>
    <x v="0"/>
    <s v="2024"/>
    <x v="2"/>
    <s v="Active"/>
    <n v="0"/>
    <n v="1"/>
    <n v="535789"/>
    <n v="3.8"/>
    <s v="Manager B"/>
    <n v="87.1"/>
    <x v="0"/>
  </r>
  <r>
    <x v="175"/>
    <s v="Employee_176"/>
    <x v="0"/>
    <s v="Manager"/>
    <x v="3"/>
    <s v="2020-06-03"/>
    <x v="3"/>
    <s v="2020"/>
    <x v="85"/>
    <s v="Exited"/>
    <n v="1"/>
    <n v="0"/>
    <n v="323924"/>
    <n v="2.9"/>
    <s v="Manager A"/>
    <n v="77.8"/>
    <x v="0"/>
  </r>
  <r>
    <x v="176"/>
    <s v="Employee_177"/>
    <x v="0"/>
    <s v="Senior Executive"/>
    <x v="2"/>
    <s v="2019-12-17"/>
    <x v="5"/>
    <s v="2019"/>
    <x v="86"/>
    <s v="Exited"/>
    <n v="1"/>
    <n v="0"/>
    <n v="617076"/>
    <n v="3.2"/>
    <s v="Manager D"/>
    <n v="83.7"/>
    <x v="0"/>
  </r>
  <r>
    <x v="177"/>
    <s v="Employee_178"/>
    <x v="1"/>
    <s v="Manager"/>
    <x v="3"/>
    <s v="2022-01-14"/>
    <x v="10"/>
    <s v="2022"/>
    <x v="2"/>
    <s v="Active"/>
    <n v="0"/>
    <n v="1"/>
    <n v="810855"/>
    <n v="2.8"/>
    <s v="Manager C"/>
    <n v="80"/>
    <x v="0"/>
  </r>
  <r>
    <x v="178"/>
    <s v="Employee_179"/>
    <x v="2"/>
    <s v="Executive"/>
    <x v="3"/>
    <s v="2020-03-19"/>
    <x v="8"/>
    <s v="2020"/>
    <x v="87"/>
    <s v="Exited"/>
    <n v="1"/>
    <n v="0"/>
    <n v="273206"/>
    <n v="3"/>
    <s v="Manager B"/>
    <n v="92.7"/>
    <x v="0"/>
  </r>
  <r>
    <x v="179"/>
    <s v="Employee_180"/>
    <x v="2"/>
    <s v="Manager"/>
    <x v="3"/>
    <s v="2018-06-29"/>
    <x v="3"/>
    <s v="2018"/>
    <x v="2"/>
    <s v="Active"/>
    <n v="0"/>
    <n v="1"/>
    <n v="299281"/>
    <n v="2.8"/>
    <s v="Manager D"/>
    <n v="85.8"/>
    <x v="0"/>
  </r>
  <r>
    <x v="180"/>
    <s v="Employee_181"/>
    <x v="2"/>
    <s v="Senior Executive"/>
    <x v="1"/>
    <s v="2023-10-29"/>
    <x v="7"/>
    <s v="2023"/>
    <x v="46"/>
    <s v="Exited"/>
    <n v="1"/>
    <n v="0"/>
    <n v="788098"/>
    <n v="4.5999999999999996"/>
    <s v="Manager C"/>
    <n v="76.8"/>
    <x v="1"/>
  </r>
  <r>
    <x v="181"/>
    <s v="Employee_182"/>
    <x v="1"/>
    <s v="Manager"/>
    <x v="0"/>
    <s v="2019-12-06"/>
    <x v="5"/>
    <s v="2019"/>
    <x v="88"/>
    <s v="Exited"/>
    <n v="1"/>
    <n v="0"/>
    <n v="824559"/>
    <n v="2.7"/>
    <s v="Manager B"/>
    <n v="81"/>
    <x v="0"/>
  </r>
  <r>
    <x v="182"/>
    <s v="Employee_183"/>
    <x v="3"/>
    <s v="Senior Executive"/>
    <x v="2"/>
    <s v="2021-02-02"/>
    <x v="6"/>
    <s v="2021"/>
    <x v="89"/>
    <s v="Exited"/>
    <n v="1"/>
    <n v="0"/>
    <n v="330048"/>
    <n v="2.4"/>
    <s v="Manager C"/>
    <n v="91.9"/>
    <x v="0"/>
  </r>
  <r>
    <x v="183"/>
    <s v="Employee_184"/>
    <x v="4"/>
    <s v="Analyst"/>
    <x v="0"/>
    <s v="2021-05-12"/>
    <x v="9"/>
    <s v="2021"/>
    <x v="90"/>
    <s v="Exited"/>
    <n v="1"/>
    <n v="0"/>
    <n v="1163639"/>
    <n v="2.6"/>
    <s v="Manager A"/>
    <n v="93.7"/>
    <x v="0"/>
  </r>
  <r>
    <x v="184"/>
    <s v="Employee_185"/>
    <x v="0"/>
    <s v="Senior Executive"/>
    <x v="3"/>
    <s v="2023-06-30"/>
    <x v="3"/>
    <s v="2023"/>
    <x v="91"/>
    <s v="Exited"/>
    <n v="1"/>
    <n v="0"/>
    <n v="660858"/>
    <n v="4.2"/>
    <s v="Manager B"/>
    <n v="78.400000000000006"/>
    <x v="1"/>
  </r>
  <r>
    <x v="185"/>
    <s v="Employee_186"/>
    <x v="2"/>
    <s v="Manager"/>
    <x v="2"/>
    <s v="2018-12-02"/>
    <x v="5"/>
    <s v="2018"/>
    <x v="2"/>
    <s v="Active"/>
    <n v="0"/>
    <n v="1"/>
    <n v="418228"/>
    <n v="2.5"/>
    <s v="Manager A"/>
    <n v="75.2"/>
    <x v="0"/>
  </r>
  <r>
    <x v="186"/>
    <s v="Employee_187"/>
    <x v="2"/>
    <s v="Executive"/>
    <x v="3"/>
    <s v="2024-01-09"/>
    <x v="10"/>
    <s v="2024"/>
    <x v="2"/>
    <s v="Active"/>
    <n v="0"/>
    <n v="1"/>
    <n v="671855"/>
    <n v="2.9"/>
    <s v="Manager C"/>
    <n v="94.4"/>
    <x v="0"/>
  </r>
  <r>
    <x v="187"/>
    <s v="Employee_188"/>
    <x v="0"/>
    <s v="Executive"/>
    <x v="2"/>
    <s v="2019-04-18"/>
    <x v="0"/>
    <s v="2019"/>
    <x v="2"/>
    <s v="Active"/>
    <n v="0"/>
    <n v="1"/>
    <n v="970326"/>
    <n v="4.8"/>
    <s v="Manager B"/>
    <n v="88.4"/>
    <x v="1"/>
  </r>
  <r>
    <x v="188"/>
    <s v="Employee_189"/>
    <x v="4"/>
    <s v="Analyst"/>
    <x v="1"/>
    <s v="2024-04-06"/>
    <x v="0"/>
    <s v="2024"/>
    <x v="92"/>
    <s v="Exited"/>
    <n v="1"/>
    <n v="0"/>
    <n v="931272"/>
    <n v="3.9"/>
    <s v="Manager D"/>
    <n v="85.3"/>
    <x v="0"/>
  </r>
  <r>
    <x v="189"/>
    <s v="Employee_190"/>
    <x v="4"/>
    <s v="Analyst"/>
    <x v="1"/>
    <s v="2020-11-10"/>
    <x v="11"/>
    <s v="2020"/>
    <x v="2"/>
    <s v="Active"/>
    <n v="0"/>
    <n v="1"/>
    <n v="211072"/>
    <n v="2.2000000000000002"/>
    <s v="Manager B"/>
    <n v="95.9"/>
    <x v="0"/>
  </r>
  <r>
    <x v="190"/>
    <s v="Employee_191"/>
    <x v="4"/>
    <s v="Manager"/>
    <x v="3"/>
    <s v="2018-04-17"/>
    <x v="0"/>
    <s v="2018"/>
    <x v="2"/>
    <s v="Active"/>
    <n v="0"/>
    <n v="1"/>
    <n v="958382"/>
    <n v="3.1"/>
    <s v="Manager D"/>
    <n v="92.3"/>
    <x v="0"/>
  </r>
  <r>
    <x v="191"/>
    <s v="Employee_192"/>
    <x v="2"/>
    <s v="Manager"/>
    <x v="3"/>
    <s v="2019-11-25"/>
    <x v="11"/>
    <s v="2019"/>
    <x v="93"/>
    <s v="Exited"/>
    <n v="1"/>
    <n v="0"/>
    <n v="789835"/>
    <n v="4.5"/>
    <s v="Manager B"/>
    <n v="78.2"/>
    <x v="1"/>
  </r>
  <r>
    <x v="192"/>
    <s v="Employee_193"/>
    <x v="0"/>
    <s v="Analyst"/>
    <x v="3"/>
    <s v="2018-12-08"/>
    <x v="5"/>
    <s v="2018"/>
    <x v="94"/>
    <s v="Exited"/>
    <n v="1"/>
    <n v="0"/>
    <n v="447355"/>
    <n v="4.8"/>
    <s v="Manager A"/>
    <n v="98.8"/>
    <x v="1"/>
  </r>
  <r>
    <x v="193"/>
    <s v="Employee_194"/>
    <x v="3"/>
    <s v="Manager"/>
    <x v="2"/>
    <s v="2020-12-18"/>
    <x v="5"/>
    <s v="2020"/>
    <x v="95"/>
    <s v="Exited"/>
    <n v="1"/>
    <n v="0"/>
    <n v="414760"/>
    <n v="3.2"/>
    <s v="Manager A"/>
    <n v="75.2"/>
    <x v="0"/>
  </r>
  <r>
    <x v="194"/>
    <s v="Employee_195"/>
    <x v="0"/>
    <s v="Executive"/>
    <x v="3"/>
    <s v="2019-01-05"/>
    <x v="10"/>
    <s v="2019"/>
    <x v="2"/>
    <s v="Active"/>
    <n v="0"/>
    <n v="1"/>
    <n v="551667"/>
    <n v="3.4"/>
    <s v="Manager C"/>
    <n v="77"/>
    <x v="0"/>
  </r>
  <r>
    <x v="195"/>
    <s v="Employee_196"/>
    <x v="4"/>
    <s v="Senior Executive"/>
    <x v="2"/>
    <s v="2024-07-10"/>
    <x v="2"/>
    <s v="2024"/>
    <x v="2"/>
    <s v="Active"/>
    <n v="0"/>
    <n v="1"/>
    <n v="715194"/>
    <n v="4.4000000000000004"/>
    <s v="Manager A"/>
    <n v="84.7"/>
    <x v="1"/>
  </r>
  <r>
    <x v="196"/>
    <s v="Employee_197"/>
    <x v="3"/>
    <s v="Analyst"/>
    <x v="2"/>
    <s v="2024-05-12"/>
    <x v="9"/>
    <s v="2024"/>
    <x v="96"/>
    <s v="Exited"/>
    <n v="1"/>
    <n v="0"/>
    <n v="1062490"/>
    <n v="3.9"/>
    <s v="Manager C"/>
    <n v="93.1"/>
    <x v="0"/>
  </r>
  <r>
    <x v="197"/>
    <s v="Employee_198"/>
    <x v="0"/>
    <s v="Manager"/>
    <x v="0"/>
    <s v="2021-08-30"/>
    <x v="4"/>
    <s v="2021"/>
    <x v="2"/>
    <s v="Active"/>
    <n v="0"/>
    <n v="1"/>
    <n v="352839"/>
    <n v="4"/>
    <s v="Manager B"/>
    <n v="81.3"/>
    <x v="0"/>
  </r>
  <r>
    <x v="198"/>
    <s v="Employee_199"/>
    <x v="2"/>
    <s v="Analyst"/>
    <x v="0"/>
    <s v="2020-10-03"/>
    <x v="7"/>
    <s v="2020"/>
    <x v="2"/>
    <s v="Active"/>
    <n v="0"/>
    <n v="1"/>
    <n v="500965"/>
    <n v="3"/>
    <s v="Manager A"/>
    <n v="80.900000000000006"/>
    <x v="0"/>
  </r>
  <r>
    <x v="199"/>
    <s v="Employee_200"/>
    <x v="3"/>
    <s v="Analyst"/>
    <x v="2"/>
    <s v="2020-07-06"/>
    <x v="2"/>
    <s v="2020"/>
    <x v="97"/>
    <s v="Exited"/>
    <n v="1"/>
    <n v="0"/>
    <n v="447617"/>
    <n v="2.5"/>
    <s v="Manager A"/>
    <n v="91.7"/>
    <x v="0"/>
  </r>
  <r>
    <x v="200"/>
    <s v="Employee_201"/>
    <x v="2"/>
    <s v="Analyst"/>
    <x v="0"/>
    <s v="2023-09-28"/>
    <x v="1"/>
    <s v="2023"/>
    <x v="2"/>
    <s v="Active"/>
    <n v="0"/>
    <n v="1"/>
    <n v="862187"/>
    <n v="3.1"/>
    <s v="Manager B"/>
    <n v="89.9"/>
    <x v="0"/>
  </r>
  <r>
    <x v="201"/>
    <s v="Employee_202"/>
    <x v="2"/>
    <s v="Manager"/>
    <x v="3"/>
    <s v="2022-12-25"/>
    <x v="5"/>
    <s v="2022"/>
    <x v="98"/>
    <s v="Exited"/>
    <n v="1"/>
    <n v="0"/>
    <n v="228159"/>
    <n v="2.6"/>
    <s v="Manager D"/>
    <n v="85.5"/>
    <x v="0"/>
  </r>
  <r>
    <x v="202"/>
    <s v="Employee_203"/>
    <x v="1"/>
    <s v="Executive"/>
    <x v="1"/>
    <s v="2022-05-05"/>
    <x v="9"/>
    <s v="2022"/>
    <x v="99"/>
    <s v="Exited"/>
    <n v="1"/>
    <n v="0"/>
    <n v="409346"/>
    <n v="3.8"/>
    <s v="Manager D"/>
    <n v="84.8"/>
    <x v="0"/>
  </r>
  <r>
    <x v="203"/>
    <s v="Employee_204"/>
    <x v="2"/>
    <s v="Senior Executive"/>
    <x v="1"/>
    <s v="2021-11-27"/>
    <x v="11"/>
    <s v="2021"/>
    <x v="2"/>
    <s v="Active"/>
    <n v="0"/>
    <n v="1"/>
    <n v="311617"/>
    <n v="4.5999999999999996"/>
    <s v="Manager B"/>
    <n v="78.3"/>
    <x v="1"/>
  </r>
  <r>
    <x v="204"/>
    <s v="Employee_205"/>
    <x v="2"/>
    <s v="Executive"/>
    <x v="3"/>
    <s v="2024-06-04"/>
    <x v="3"/>
    <s v="2024"/>
    <x v="100"/>
    <s v="Exited"/>
    <n v="1"/>
    <n v="0"/>
    <n v="434542"/>
    <n v="3"/>
    <s v="Manager D"/>
    <n v="85.9"/>
    <x v="0"/>
  </r>
  <r>
    <x v="205"/>
    <s v="Employee_206"/>
    <x v="1"/>
    <s v="Executive"/>
    <x v="3"/>
    <s v="2024-09-05"/>
    <x v="1"/>
    <s v="2024"/>
    <x v="2"/>
    <s v="Active"/>
    <n v="0"/>
    <n v="1"/>
    <n v="491039"/>
    <n v="3.5"/>
    <s v="Manager B"/>
    <n v="84.3"/>
    <x v="0"/>
  </r>
  <r>
    <x v="206"/>
    <s v="Employee_207"/>
    <x v="4"/>
    <s v="Manager"/>
    <x v="2"/>
    <s v="2021-10-09"/>
    <x v="7"/>
    <s v="2021"/>
    <x v="101"/>
    <s v="Exited"/>
    <n v="1"/>
    <n v="0"/>
    <n v="1190855"/>
    <n v="4.9000000000000004"/>
    <s v="Manager C"/>
    <n v="93.5"/>
    <x v="1"/>
  </r>
  <r>
    <x v="207"/>
    <s v="Employee_208"/>
    <x v="0"/>
    <s v="Executive"/>
    <x v="3"/>
    <s v="2022-10-16"/>
    <x v="7"/>
    <s v="2022"/>
    <x v="102"/>
    <s v="Exited"/>
    <n v="1"/>
    <n v="0"/>
    <n v="814431"/>
    <n v="2.8"/>
    <s v="Manager A"/>
    <n v="93.7"/>
    <x v="0"/>
  </r>
  <r>
    <x v="208"/>
    <s v="Employee_209"/>
    <x v="4"/>
    <s v="Analyst"/>
    <x v="3"/>
    <s v="2021-09-07"/>
    <x v="1"/>
    <s v="2021"/>
    <x v="103"/>
    <s v="Exited"/>
    <n v="1"/>
    <n v="0"/>
    <n v="566472"/>
    <n v="4.5"/>
    <s v="Manager A"/>
    <n v="76.400000000000006"/>
    <x v="1"/>
  </r>
  <r>
    <x v="209"/>
    <s v="Employee_210"/>
    <x v="3"/>
    <s v="Executive"/>
    <x v="3"/>
    <s v="2018-11-29"/>
    <x v="11"/>
    <s v="2018"/>
    <x v="104"/>
    <s v="Exited"/>
    <n v="1"/>
    <n v="0"/>
    <n v="373628"/>
    <n v="4.8"/>
    <s v="Manager C"/>
    <n v="82.6"/>
    <x v="1"/>
  </r>
  <r>
    <x v="210"/>
    <s v="Employee_211"/>
    <x v="0"/>
    <s v="Manager"/>
    <x v="3"/>
    <s v="2021-07-30"/>
    <x v="2"/>
    <s v="2021"/>
    <x v="54"/>
    <s v="Exited"/>
    <n v="1"/>
    <n v="0"/>
    <n v="732157"/>
    <n v="2.2000000000000002"/>
    <s v="Manager C"/>
    <n v="96.5"/>
    <x v="0"/>
  </r>
  <r>
    <x v="211"/>
    <s v="Employee_212"/>
    <x v="3"/>
    <s v="Executive"/>
    <x v="1"/>
    <s v="2019-04-14"/>
    <x v="0"/>
    <s v="2019"/>
    <x v="105"/>
    <s v="Exited"/>
    <n v="1"/>
    <n v="0"/>
    <n v="272639"/>
    <n v="4.7"/>
    <s v="Manager D"/>
    <n v="97.4"/>
    <x v="1"/>
  </r>
  <r>
    <x v="212"/>
    <s v="Employee_213"/>
    <x v="2"/>
    <s v="Analyst"/>
    <x v="3"/>
    <s v="2019-01-06"/>
    <x v="10"/>
    <s v="2019"/>
    <x v="2"/>
    <s v="Active"/>
    <n v="0"/>
    <n v="1"/>
    <n v="772715"/>
    <n v="3.6"/>
    <s v="Manager A"/>
    <n v="81.8"/>
    <x v="0"/>
  </r>
  <r>
    <x v="213"/>
    <s v="Employee_214"/>
    <x v="3"/>
    <s v="Executive"/>
    <x v="1"/>
    <s v="2021-12-04"/>
    <x v="5"/>
    <s v="2021"/>
    <x v="106"/>
    <s v="Exited"/>
    <n v="1"/>
    <n v="0"/>
    <n v="945639"/>
    <n v="2.2999999999999998"/>
    <s v="Manager A"/>
    <n v="97.4"/>
    <x v="0"/>
  </r>
  <r>
    <x v="214"/>
    <s v="Employee_215"/>
    <x v="2"/>
    <s v="Analyst"/>
    <x v="3"/>
    <s v="2022-03-25"/>
    <x v="8"/>
    <s v="2022"/>
    <x v="107"/>
    <s v="Exited"/>
    <n v="1"/>
    <n v="0"/>
    <n v="1069109"/>
    <n v="4.8"/>
    <s v="Manager A"/>
    <n v="83.7"/>
    <x v="1"/>
  </r>
  <r>
    <x v="215"/>
    <s v="Employee_216"/>
    <x v="2"/>
    <s v="Manager"/>
    <x v="1"/>
    <s v="2023-01-15"/>
    <x v="10"/>
    <s v="2023"/>
    <x v="2"/>
    <s v="Active"/>
    <n v="0"/>
    <n v="1"/>
    <n v="1172055"/>
    <n v="3.5"/>
    <s v="Manager C"/>
    <n v="88.7"/>
    <x v="0"/>
  </r>
  <r>
    <x v="216"/>
    <s v="Employee_217"/>
    <x v="4"/>
    <s v="Analyst"/>
    <x v="3"/>
    <s v="2020-06-06"/>
    <x v="3"/>
    <s v="2020"/>
    <x v="2"/>
    <s v="Active"/>
    <n v="0"/>
    <n v="1"/>
    <n v="267141"/>
    <n v="4.9000000000000004"/>
    <s v="Manager D"/>
    <n v="95.3"/>
    <x v="1"/>
  </r>
  <r>
    <x v="217"/>
    <s v="Employee_218"/>
    <x v="0"/>
    <s v="Senior Executive"/>
    <x v="3"/>
    <s v="2022-09-02"/>
    <x v="1"/>
    <s v="2022"/>
    <x v="65"/>
    <s v="Exited"/>
    <n v="1"/>
    <n v="0"/>
    <n v="847925"/>
    <n v="4.9000000000000004"/>
    <s v="Manager C"/>
    <n v="81.7"/>
    <x v="1"/>
  </r>
  <r>
    <x v="218"/>
    <s v="Employee_219"/>
    <x v="2"/>
    <s v="Senior Executive"/>
    <x v="2"/>
    <s v="2022-08-19"/>
    <x v="4"/>
    <s v="2022"/>
    <x v="108"/>
    <s v="Exited"/>
    <n v="1"/>
    <n v="0"/>
    <n v="637571"/>
    <n v="4.5"/>
    <s v="Manager A"/>
    <n v="93.9"/>
    <x v="1"/>
  </r>
  <r>
    <x v="219"/>
    <s v="Employee_220"/>
    <x v="0"/>
    <s v="Manager"/>
    <x v="0"/>
    <s v="2020-06-17"/>
    <x v="3"/>
    <s v="2020"/>
    <x v="2"/>
    <s v="Active"/>
    <n v="0"/>
    <n v="1"/>
    <n v="989577"/>
    <n v="4.5"/>
    <s v="Manager C"/>
    <n v="88.1"/>
    <x v="1"/>
  </r>
  <r>
    <x v="220"/>
    <s v="Employee_221"/>
    <x v="1"/>
    <s v="Manager"/>
    <x v="3"/>
    <s v="2023-07-22"/>
    <x v="2"/>
    <s v="2023"/>
    <x v="109"/>
    <s v="Exited"/>
    <n v="1"/>
    <n v="0"/>
    <n v="339289"/>
    <n v="3"/>
    <s v="Manager C"/>
    <n v="88.8"/>
    <x v="0"/>
  </r>
  <r>
    <x v="221"/>
    <s v="Employee_222"/>
    <x v="0"/>
    <s v="Manager"/>
    <x v="3"/>
    <s v="2021-08-07"/>
    <x v="4"/>
    <s v="2021"/>
    <x v="110"/>
    <s v="Exited"/>
    <n v="1"/>
    <n v="0"/>
    <n v="544918"/>
    <n v="2.9"/>
    <s v="Manager B"/>
    <n v="76.8"/>
    <x v="0"/>
  </r>
  <r>
    <x v="222"/>
    <s v="Employee_223"/>
    <x v="1"/>
    <s v="Manager"/>
    <x v="3"/>
    <s v="2020-09-29"/>
    <x v="1"/>
    <s v="2020"/>
    <x v="2"/>
    <s v="Active"/>
    <n v="0"/>
    <n v="1"/>
    <n v="720622"/>
    <n v="3.5"/>
    <s v="Manager B"/>
    <n v="79.400000000000006"/>
    <x v="0"/>
  </r>
  <r>
    <x v="223"/>
    <s v="Employee_224"/>
    <x v="4"/>
    <s v="Manager"/>
    <x v="3"/>
    <s v="2020-02-08"/>
    <x v="6"/>
    <s v="2020"/>
    <x v="111"/>
    <s v="Exited"/>
    <n v="1"/>
    <n v="0"/>
    <n v="871780"/>
    <n v="3.2"/>
    <s v="Manager A"/>
    <n v="79.599999999999994"/>
    <x v="0"/>
  </r>
  <r>
    <x v="224"/>
    <s v="Employee_225"/>
    <x v="3"/>
    <s v="Senior Executive"/>
    <x v="1"/>
    <s v="2019-01-20"/>
    <x v="10"/>
    <s v="2019"/>
    <x v="112"/>
    <s v="Exited"/>
    <n v="1"/>
    <n v="0"/>
    <n v="1089545"/>
    <n v="3.3"/>
    <s v="Manager A"/>
    <n v="86.4"/>
    <x v="0"/>
  </r>
  <r>
    <x v="225"/>
    <s v="Employee_226"/>
    <x v="2"/>
    <s v="Analyst"/>
    <x v="2"/>
    <s v="2021-04-09"/>
    <x v="0"/>
    <s v="2021"/>
    <x v="113"/>
    <s v="Exited"/>
    <n v="1"/>
    <n v="0"/>
    <n v="851453"/>
    <n v="4.2"/>
    <s v="Manager C"/>
    <n v="89.5"/>
    <x v="1"/>
  </r>
  <r>
    <x v="226"/>
    <s v="Employee_227"/>
    <x v="3"/>
    <s v="Analyst"/>
    <x v="3"/>
    <s v="2020-06-09"/>
    <x v="3"/>
    <s v="2020"/>
    <x v="98"/>
    <s v="Exited"/>
    <n v="1"/>
    <n v="0"/>
    <n v="381676"/>
    <n v="3.3"/>
    <s v="Manager D"/>
    <n v="82.4"/>
    <x v="0"/>
  </r>
  <r>
    <x v="227"/>
    <s v="Employee_228"/>
    <x v="3"/>
    <s v="Analyst"/>
    <x v="1"/>
    <s v="2018-04-26"/>
    <x v="0"/>
    <s v="2018"/>
    <x v="2"/>
    <s v="Active"/>
    <n v="0"/>
    <n v="1"/>
    <n v="327195"/>
    <n v="3.7"/>
    <s v="Manager A"/>
    <n v="95"/>
    <x v="0"/>
  </r>
  <r>
    <x v="228"/>
    <s v="Employee_229"/>
    <x v="0"/>
    <s v="Manager"/>
    <x v="2"/>
    <s v="2021-11-24"/>
    <x v="11"/>
    <s v="2021"/>
    <x v="2"/>
    <s v="Active"/>
    <n v="0"/>
    <n v="1"/>
    <n v="768310"/>
    <n v="4.8"/>
    <s v="Manager A"/>
    <n v="100"/>
    <x v="1"/>
  </r>
  <r>
    <x v="229"/>
    <s v="Employee_230"/>
    <x v="4"/>
    <s v="Executive"/>
    <x v="0"/>
    <s v="2024-12-07"/>
    <x v="5"/>
    <s v="2024"/>
    <x v="114"/>
    <s v="Exited"/>
    <n v="1"/>
    <n v="0"/>
    <n v="213589"/>
    <n v="4"/>
    <s v="Manager B"/>
    <n v="79.3"/>
    <x v="0"/>
  </r>
  <r>
    <x v="230"/>
    <s v="Employee_231"/>
    <x v="0"/>
    <s v="Senior Executive"/>
    <x v="1"/>
    <s v="2024-11-03"/>
    <x v="11"/>
    <s v="2024"/>
    <x v="115"/>
    <s v="Exited"/>
    <n v="1"/>
    <n v="0"/>
    <n v="666108"/>
    <n v="3.1"/>
    <s v="Manager C"/>
    <n v="96.9"/>
    <x v="0"/>
  </r>
  <r>
    <x v="231"/>
    <s v="Employee_232"/>
    <x v="1"/>
    <s v="Senior Executive"/>
    <x v="2"/>
    <s v="2022-03-08"/>
    <x v="8"/>
    <s v="2022"/>
    <x v="116"/>
    <s v="Exited"/>
    <n v="1"/>
    <n v="0"/>
    <n v="399659"/>
    <n v="4.7"/>
    <s v="Manager A"/>
    <n v="81.599999999999994"/>
    <x v="1"/>
  </r>
  <r>
    <x v="232"/>
    <s v="Employee_233"/>
    <x v="2"/>
    <s v="Manager"/>
    <x v="0"/>
    <s v="2018-10-14"/>
    <x v="7"/>
    <s v="2018"/>
    <x v="117"/>
    <s v="Exited"/>
    <n v="1"/>
    <n v="0"/>
    <n v="840363"/>
    <n v="3.9"/>
    <s v="Manager C"/>
    <n v="87.7"/>
    <x v="0"/>
  </r>
  <r>
    <x v="233"/>
    <s v="Employee_234"/>
    <x v="1"/>
    <s v="Manager"/>
    <x v="3"/>
    <s v="2024-02-15"/>
    <x v="6"/>
    <s v="2024"/>
    <x v="118"/>
    <s v="Exited"/>
    <n v="1"/>
    <n v="0"/>
    <n v="717044"/>
    <n v="4.5"/>
    <s v="Manager B"/>
    <n v="94.4"/>
    <x v="1"/>
  </r>
  <r>
    <x v="234"/>
    <s v="Employee_235"/>
    <x v="3"/>
    <s v="Senior Executive"/>
    <x v="0"/>
    <s v="2023-06-09"/>
    <x v="3"/>
    <s v="2023"/>
    <x v="2"/>
    <s v="Active"/>
    <n v="0"/>
    <n v="1"/>
    <n v="821516"/>
    <n v="2.9"/>
    <s v="Manager D"/>
    <n v="97.7"/>
    <x v="0"/>
  </r>
  <r>
    <x v="235"/>
    <s v="Employee_236"/>
    <x v="1"/>
    <s v="Executive"/>
    <x v="0"/>
    <s v="2019-08-12"/>
    <x v="4"/>
    <s v="2019"/>
    <x v="119"/>
    <s v="Exited"/>
    <n v="1"/>
    <n v="0"/>
    <n v="1147312"/>
    <n v="2.1"/>
    <s v="Manager C"/>
    <n v="78.400000000000006"/>
    <x v="0"/>
  </r>
  <r>
    <x v="236"/>
    <s v="Employee_237"/>
    <x v="1"/>
    <s v="Senior Executive"/>
    <x v="2"/>
    <s v="2022-12-09"/>
    <x v="5"/>
    <s v="2022"/>
    <x v="2"/>
    <s v="Active"/>
    <n v="0"/>
    <n v="1"/>
    <n v="1155819"/>
    <n v="4.2"/>
    <s v="Manager D"/>
    <n v="78.400000000000006"/>
    <x v="1"/>
  </r>
  <r>
    <x v="237"/>
    <s v="Employee_238"/>
    <x v="2"/>
    <s v="Analyst"/>
    <x v="3"/>
    <s v="2022-10-18"/>
    <x v="7"/>
    <s v="2022"/>
    <x v="120"/>
    <s v="Exited"/>
    <n v="1"/>
    <n v="0"/>
    <n v="400006"/>
    <n v="4.3"/>
    <s v="Manager B"/>
    <n v="79.5"/>
    <x v="1"/>
  </r>
  <r>
    <x v="238"/>
    <s v="Employee_239"/>
    <x v="0"/>
    <s v="Analyst"/>
    <x v="2"/>
    <s v="2019-11-19"/>
    <x v="11"/>
    <s v="2019"/>
    <x v="121"/>
    <s v="Exited"/>
    <n v="1"/>
    <n v="0"/>
    <n v="413837"/>
    <n v="3.4"/>
    <s v="Manager D"/>
    <n v="75.8"/>
    <x v="0"/>
  </r>
  <r>
    <x v="239"/>
    <s v="Employee_240"/>
    <x v="0"/>
    <s v="Analyst"/>
    <x v="3"/>
    <s v="2018-10-25"/>
    <x v="7"/>
    <s v="2018"/>
    <x v="2"/>
    <s v="Active"/>
    <n v="0"/>
    <n v="1"/>
    <n v="330323"/>
    <n v="3.6"/>
    <s v="Manager A"/>
    <n v="75.099999999999994"/>
    <x v="0"/>
  </r>
  <r>
    <x v="240"/>
    <s v="Employee_241"/>
    <x v="1"/>
    <s v="Analyst"/>
    <x v="2"/>
    <s v="2021-09-02"/>
    <x v="1"/>
    <s v="2021"/>
    <x v="2"/>
    <s v="Active"/>
    <n v="0"/>
    <n v="1"/>
    <n v="1180475"/>
    <n v="2.2000000000000002"/>
    <s v="Manager C"/>
    <n v="76.900000000000006"/>
    <x v="0"/>
  </r>
  <r>
    <x v="241"/>
    <s v="Employee_242"/>
    <x v="2"/>
    <s v="Manager"/>
    <x v="1"/>
    <s v="2018-10-01"/>
    <x v="7"/>
    <s v="2018"/>
    <x v="2"/>
    <s v="Active"/>
    <n v="0"/>
    <n v="1"/>
    <n v="842028"/>
    <n v="2.8"/>
    <s v="Manager B"/>
    <n v="96.9"/>
    <x v="0"/>
  </r>
  <r>
    <x v="242"/>
    <s v="Employee_243"/>
    <x v="1"/>
    <s v="Executive"/>
    <x v="0"/>
    <s v="2023-06-08"/>
    <x v="3"/>
    <s v="2023"/>
    <x v="122"/>
    <s v="Exited"/>
    <n v="1"/>
    <n v="0"/>
    <n v="790246"/>
    <n v="3.4"/>
    <s v="Manager D"/>
    <n v="77.099999999999994"/>
    <x v="0"/>
  </r>
  <r>
    <x v="243"/>
    <s v="Employee_244"/>
    <x v="4"/>
    <s v="Manager"/>
    <x v="1"/>
    <s v="2023-11-28"/>
    <x v="11"/>
    <s v="2023"/>
    <x v="2"/>
    <s v="Active"/>
    <n v="0"/>
    <n v="1"/>
    <n v="892381"/>
    <n v="2.2000000000000002"/>
    <s v="Manager A"/>
    <n v="90.3"/>
    <x v="0"/>
  </r>
  <r>
    <x v="244"/>
    <s v="Employee_245"/>
    <x v="1"/>
    <s v="Executive"/>
    <x v="2"/>
    <s v="2020-11-18"/>
    <x v="11"/>
    <s v="2020"/>
    <x v="2"/>
    <s v="Active"/>
    <n v="0"/>
    <n v="1"/>
    <n v="676159"/>
    <n v="2"/>
    <s v="Manager B"/>
    <n v="89.4"/>
    <x v="0"/>
  </r>
  <r>
    <x v="245"/>
    <s v="Employee_246"/>
    <x v="2"/>
    <s v="Senior Executive"/>
    <x v="3"/>
    <s v="2018-07-21"/>
    <x v="2"/>
    <s v="2018"/>
    <x v="2"/>
    <s v="Active"/>
    <n v="0"/>
    <n v="1"/>
    <n v="351109"/>
    <n v="2.9"/>
    <s v="Manager A"/>
    <n v="81.8"/>
    <x v="0"/>
  </r>
  <r>
    <x v="246"/>
    <s v="Employee_247"/>
    <x v="4"/>
    <s v="Executive"/>
    <x v="3"/>
    <s v="2018-04-19"/>
    <x v="0"/>
    <s v="2018"/>
    <x v="2"/>
    <s v="Active"/>
    <n v="0"/>
    <n v="1"/>
    <n v="814279"/>
    <n v="2.1"/>
    <s v="Manager D"/>
    <n v="84.3"/>
    <x v="0"/>
  </r>
  <r>
    <x v="247"/>
    <s v="Employee_248"/>
    <x v="4"/>
    <s v="Senior Executive"/>
    <x v="0"/>
    <s v="2020-03-17"/>
    <x v="8"/>
    <s v="2020"/>
    <x v="123"/>
    <s v="Exited"/>
    <n v="1"/>
    <n v="0"/>
    <n v="880447"/>
    <n v="2.6"/>
    <s v="Manager D"/>
    <n v="95.5"/>
    <x v="0"/>
  </r>
  <r>
    <x v="248"/>
    <s v="Employee_249"/>
    <x v="1"/>
    <s v="Executive"/>
    <x v="0"/>
    <s v="2024-05-18"/>
    <x v="9"/>
    <s v="2024"/>
    <x v="2"/>
    <s v="Active"/>
    <n v="0"/>
    <n v="1"/>
    <n v="358190"/>
    <n v="3"/>
    <s v="Manager A"/>
    <n v="91.1"/>
    <x v="0"/>
  </r>
  <r>
    <x v="249"/>
    <s v="Employee_250"/>
    <x v="1"/>
    <s v="Executive"/>
    <x v="0"/>
    <s v="2024-01-10"/>
    <x v="10"/>
    <s v="2024"/>
    <x v="2"/>
    <s v="Active"/>
    <n v="0"/>
    <n v="1"/>
    <n v="704035"/>
    <n v="4.5999999999999996"/>
    <s v="Manager A"/>
    <n v="81.099999999999994"/>
    <x v="1"/>
  </r>
  <r>
    <x v="250"/>
    <s v="Employee_251"/>
    <x v="4"/>
    <s v="Analyst"/>
    <x v="3"/>
    <s v="2018-07-23"/>
    <x v="2"/>
    <s v="2018"/>
    <x v="2"/>
    <s v="Active"/>
    <n v="0"/>
    <n v="1"/>
    <n v="209212"/>
    <n v="4.7"/>
    <s v="Manager C"/>
    <n v="85.4"/>
    <x v="1"/>
  </r>
  <r>
    <x v="251"/>
    <s v="Employee_252"/>
    <x v="0"/>
    <s v="Executive"/>
    <x v="1"/>
    <s v="2023-03-24"/>
    <x v="8"/>
    <s v="2023"/>
    <x v="124"/>
    <s v="Exited"/>
    <n v="1"/>
    <n v="0"/>
    <n v="753487"/>
    <n v="3.3"/>
    <s v="Manager A"/>
    <n v="77.3"/>
    <x v="0"/>
  </r>
  <r>
    <x v="252"/>
    <s v="Employee_253"/>
    <x v="2"/>
    <s v="Executive"/>
    <x v="2"/>
    <s v="2019-10-03"/>
    <x v="7"/>
    <s v="2019"/>
    <x v="125"/>
    <s v="Exited"/>
    <n v="1"/>
    <n v="0"/>
    <n v="537670"/>
    <n v="2.2000000000000002"/>
    <s v="Manager D"/>
    <n v="86.9"/>
    <x v="0"/>
  </r>
  <r>
    <x v="253"/>
    <s v="Employee_254"/>
    <x v="2"/>
    <s v="Manager"/>
    <x v="1"/>
    <s v="2023-09-10"/>
    <x v="1"/>
    <s v="2023"/>
    <x v="126"/>
    <s v="Exited"/>
    <n v="1"/>
    <n v="0"/>
    <n v="769975"/>
    <n v="4.9000000000000004"/>
    <s v="Manager A"/>
    <n v="89.1"/>
    <x v="1"/>
  </r>
  <r>
    <x v="254"/>
    <s v="Employee_255"/>
    <x v="1"/>
    <s v="Senior Executive"/>
    <x v="3"/>
    <s v="2023-04-30"/>
    <x v="0"/>
    <s v="2023"/>
    <x v="2"/>
    <s v="Active"/>
    <n v="0"/>
    <n v="1"/>
    <n v="484752"/>
    <n v="5"/>
    <s v="Manager A"/>
    <n v="93.7"/>
    <x v="1"/>
  </r>
  <r>
    <x v="255"/>
    <s v="Employee_256"/>
    <x v="2"/>
    <s v="Senior Executive"/>
    <x v="2"/>
    <s v="2021-10-02"/>
    <x v="7"/>
    <s v="2021"/>
    <x v="2"/>
    <s v="Active"/>
    <n v="0"/>
    <n v="1"/>
    <n v="577570"/>
    <n v="3.2"/>
    <s v="Manager D"/>
    <n v="92.4"/>
    <x v="0"/>
  </r>
  <r>
    <x v="256"/>
    <s v="Employee_257"/>
    <x v="2"/>
    <s v="Senior Executive"/>
    <x v="1"/>
    <s v="2020-05-01"/>
    <x v="9"/>
    <s v="2020"/>
    <x v="2"/>
    <s v="Active"/>
    <n v="0"/>
    <n v="1"/>
    <n v="810851"/>
    <n v="2.5"/>
    <s v="Manager D"/>
    <n v="96.1"/>
    <x v="0"/>
  </r>
  <r>
    <x v="257"/>
    <s v="Employee_258"/>
    <x v="1"/>
    <s v="Analyst"/>
    <x v="1"/>
    <s v="2021-03-31"/>
    <x v="8"/>
    <s v="2021"/>
    <x v="2"/>
    <s v="Active"/>
    <n v="0"/>
    <n v="1"/>
    <n v="981123"/>
    <n v="4.5999999999999996"/>
    <s v="Manager B"/>
    <n v="95.1"/>
    <x v="1"/>
  </r>
  <r>
    <x v="258"/>
    <s v="Employee_259"/>
    <x v="1"/>
    <s v="Executive"/>
    <x v="2"/>
    <s v="2020-11-02"/>
    <x v="11"/>
    <s v="2020"/>
    <x v="127"/>
    <s v="Exited"/>
    <n v="1"/>
    <n v="0"/>
    <n v="887330"/>
    <n v="4.4000000000000004"/>
    <s v="Manager B"/>
    <n v="98.8"/>
    <x v="1"/>
  </r>
  <r>
    <x v="259"/>
    <s v="Employee_260"/>
    <x v="3"/>
    <s v="Executive"/>
    <x v="0"/>
    <s v="2023-05-08"/>
    <x v="9"/>
    <s v="2023"/>
    <x v="2"/>
    <s v="Active"/>
    <n v="0"/>
    <n v="1"/>
    <n v="1121194"/>
    <n v="4.0999999999999996"/>
    <s v="Manager A"/>
    <n v="81.8"/>
    <x v="1"/>
  </r>
  <r>
    <x v="260"/>
    <s v="Employee_261"/>
    <x v="1"/>
    <s v="Senior Executive"/>
    <x v="2"/>
    <s v="2023-09-27"/>
    <x v="1"/>
    <s v="2023"/>
    <x v="2"/>
    <s v="Active"/>
    <n v="0"/>
    <n v="1"/>
    <n v="346566"/>
    <n v="4.3"/>
    <s v="Manager D"/>
    <n v="82.9"/>
    <x v="1"/>
  </r>
  <r>
    <x v="261"/>
    <s v="Employee_262"/>
    <x v="4"/>
    <s v="Executive"/>
    <x v="1"/>
    <s v="2021-09-13"/>
    <x v="1"/>
    <s v="2021"/>
    <x v="128"/>
    <s v="Exited"/>
    <n v="1"/>
    <n v="0"/>
    <n v="820185"/>
    <n v="2.7"/>
    <s v="Manager D"/>
    <n v="84.5"/>
    <x v="0"/>
  </r>
  <r>
    <x v="262"/>
    <s v="Employee_263"/>
    <x v="3"/>
    <s v="Executive"/>
    <x v="0"/>
    <s v="2022-11-23"/>
    <x v="11"/>
    <s v="2022"/>
    <x v="2"/>
    <s v="Active"/>
    <n v="0"/>
    <n v="1"/>
    <n v="1108612"/>
    <n v="3.6"/>
    <s v="Manager C"/>
    <n v="86.2"/>
    <x v="0"/>
  </r>
  <r>
    <x v="263"/>
    <s v="Employee_264"/>
    <x v="4"/>
    <s v="Manager"/>
    <x v="2"/>
    <s v="2021-05-18"/>
    <x v="9"/>
    <s v="2021"/>
    <x v="129"/>
    <s v="Exited"/>
    <n v="1"/>
    <n v="0"/>
    <n v="751417"/>
    <n v="2.2000000000000002"/>
    <s v="Manager B"/>
    <n v="81.8"/>
    <x v="0"/>
  </r>
  <r>
    <x v="264"/>
    <s v="Employee_265"/>
    <x v="1"/>
    <s v="Manager"/>
    <x v="2"/>
    <s v="2023-09-14"/>
    <x v="1"/>
    <s v="2023"/>
    <x v="2"/>
    <s v="Active"/>
    <n v="0"/>
    <n v="1"/>
    <n v="1157466"/>
    <n v="2.6"/>
    <s v="Manager C"/>
    <n v="82.5"/>
    <x v="0"/>
  </r>
  <r>
    <x v="265"/>
    <s v="Employee_266"/>
    <x v="4"/>
    <s v="Analyst"/>
    <x v="0"/>
    <s v="2020-07-11"/>
    <x v="2"/>
    <s v="2020"/>
    <x v="130"/>
    <s v="Exited"/>
    <n v="1"/>
    <n v="0"/>
    <n v="646525"/>
    <n v="2.7"/>
    <s v="Manager D"/>
    <n v="96.4"/>
    <x v="0"/>
  </r>
  <r>
    <x v="266"/>
    <s v="Employee_267"/>
    <x v="0"/>
    <s v="Senior Executive"/>
    <x v="3"/>
    <s v="2024-07-03"/>
    <x v="2"/>
    <s v="2024"/>
    <x v="2"/>
    <s v="Active"/>
    <n v="0"/>
    <n v="1"/>
    <n v="1101440"/>
    <n v="2.7"/>
    <s v="Manager D"/>
    <n v="76.400000000000006"/>
    <x v="0"/>
  </r>
  <r>
    <x v="267"/>
    <s v="Employee_268"/>
    <x v="2"/>
    <s v="Senior Executive"/>
    <x v="0"/>
    <s v="2024-11-30"/>
    <x v="11"/>
    <s v="2024"/>
    <x v="2"/>
    <s v="Active"/>
    <n v="0"/>
    <n v="1"/>
    <n v="1104944"/>
    <n v="2.2000000000000002"/>
    <s v="Manager A"/>
    <n v="89.1"/>
    <x v="0"/>
  </r>
  <r>
    <x v="268"/>
    <s v="Employee_269"/>
    <x v="0"/>
    <s v="Manager"/>
    <x v="0"/>
    <s v="2021-06-03"/>
    <x v="3"/>
    <s v="2021"/>
    <x v="131"/>
    <s v="Exited"/>
    <n v="1"/>
    <n v="0"/>
    <n v="752761"/>
    <n v="3.4"/>
    <s v="Manager A"/>
    <n v="75"/>
    <x v="0"/>
  </r>
  <r>
    <x v="269"/>
    <s v="Employee_270"/>
    <x v="1"/>
    <s v="Senior Executive"/>
    <x v="1"/>
    <s v="2023-08-26"/>
    <x v="4"/>
    <s v="2023"/>
    <x v="132"/>
    <s v="Exited"/>
    <n v="1"/>
    <n v="0"/>
    <n v="830155"/>
    <n v="3.8"/>
    <s v="Manager B"/>
    <n v="77.400000000000006"/>
    <x v="0"/>
  </r>
  <r>
    <x v="270"/>
    <s v="Employee_271"/>
    <x v="4"/>
    <s v="Executive"/>
    <x v="1"/>
    <s v="2024-12-13"/>
    <x v="5"/>
    <s v="2024"/>
    <x v="133"/>
    <s v="Exited"/>
    <n v="1"/>
    <n v="0"/>
    <n v="693926"/>
    <n v="3.3"/>
    <s v="Manager D"/>
    <n v="93.1"/>
    <x v="0"/>
  </r>
  <r>
    <x v="271"/>
    <s v="Employee_272"/>
    <x v="3"/>
    <s v="Manager"/>
    <x v="2"/>
    <s v="2022-03-01"/>
    <x v="8"/>
    <s v="2022"/>
    <x v="2"/>
    <s v="Active"/>
    <n v="0"/>
    <n v="1"/>
    <n v="960052"/>
    <n v="4.3"/>
    <s v="Manager C"/>
    <n v="83.4"/>
    <x v="1"/>
  </r>
  <r>
    <x v="272"/>
    <s v="Employee_273"/>
    <x v="2"/>
    <s v="Manager"/>
    <x v="0"/>
    <s v="2023-12-21"/>
    <x v="5"/>
    <s v="2023"/>
    <x v="134"/>
    <s v="Exited"/>
    <n v="1"/>
    <n v="0"/>
    <n v="985966"/>
    <n v="3.4"/>
    <s v="Manager C"/>
    <n v="82.5"/>
    <x v="0"/>
  </r>
  <r>
    <x v="273"/>
    <s v="Employee_274"/>
    <x v="1"/>
    <s v="Executive"/>
    <x v="2"/>
    <s v="2020-07-14"/>
    <x v="2"/>
    <s v="2020"/>
    <x v="2"/>
    <s v="Active"/>
    <n v="0"/>
    <n v="1"/>
    <n v="342324"/>
    <n v="3.3"/>
    <s v="Manager A"/>
    <n v="76.5"/>
    <x v="0"/>
  </r>
  <r>
    <x v="274"/>
    <s v="Employee_275"/>
    <x v="3"/>
    <s v="Senior Executive"/>
    <x v="3"/>
    <s v="2018-01-28"/>
    <x v="10"/>
    <s v="2018"/>
    <x v="135"/>
    <s v="Exited"/>
    <n v="1"/>
    <n v="0"/>
    <n v="1162393"/>
    <n v="3.2"/>
    <s v="Manager C"/>
    <n v="78.599999999999994"/>
    <x v="0"/>
  </r>
  <r>
    <x v="275"/>
    <s v="Employee_276"/>
    <x v="0"/>
    <s v="Executive"/>
    <x v="1"/>
    <s v="2021-05-04"/>
    <x v="9"/>
    <s v="2021"/>
    <x v="136"/>
    <s v="Exited"/>
    <n v="1"/>
    <n v="0"/>
    <n v="1095098"/>
    <n v="2.4"/>
    <s v="Manager B"/>
    <n v="92.1"/>
    <x v="0"/>
  </r>
  <r>
    <x v="276"/>
    <s v="Employee_277"/>
    <x v="4"/>
    <s v="Senior Executive"/>
    <x v="3"/>
    <s v="2023-03-02"/>
    <x v="8"/>
    <s v="2023"/>
    <x v="2"/>
    <s v="Active"/>
    <n v="0"/>
    <n v="1"/>
    <n v="879186"/>
    <n v="3.4"/>
    <s v="Manager B"/>
    <n v="79.400000000000006"/>
    <x v="0"/>
  </r>
  <r>
    <x v="277"/>
    <s v="Employee_278"/>
    <x v="1"/>
    <s v="Manager"/>
    <x v="0"/>
    <s v="2019-03-17"/>
    <x v="8"/>
    <s v="2019"/>
    <x v="101"/>
    <s v="Exited"/>
    <n v="1"/>
    <n v="0"/>
    <n v="639901"/>
    <n v="3.4"/>
    <s v="Manager B"/>
    <n v="84.1"/>
    <x v="0"/>
  </r>
  <r>
    <x v="278"/>
    <s v="Employee_279"/>
    <x v="4"/>
    <s v="Manager"/>
    <x v="2"/>
    <s v="2020-11-10"/>
    <x v="11"/>
    <s v="2020"/>
    <x v="137"/>
    <s v="Exited"/>
    <n v="1"/>
    <n v="0"/>
    <n v="970028"/>
    <n v="4.9000000000000004"/>
    <s v="Manager B"/>
    <n v="81.7"/>
    <x v="1"/>
  </r>
  <r>
    <x v="279"/>
    <s v="Employee_280"/>
    <x v="0"/>
    <s v="Senior Executive"/>
    <x v="1"/>
    <s v="2022-12-03"/>
    <x v="5"/>
    <s v="2022"/>
    <x v="2"/>
    <s v="Active"/>
    <n v="0"/>
    <n v="1"/>
    <n v="988643"/>
    <n v="3.9"/>
    <s v="Manager A"/>
    <n v="95.2"/>
    <x v="0"/>
  </r>
  <r>
    <x v="280"/>
    <s v="Employee_281"/>
    <x v="3"/>
    <s v="Executive"/>
    <x v="2"/>
    <s v="2022-02-08"/>
    <x v="6"/>
    <s v="2022"/>
    <x v="2"/>
    <s v="Active"/>
    <n v="0"/>
    <n v="1"/>
    <n v="1094260"/>
    <n v="2.4"/>
    <s v="Manager B"/>
    <n v="76.2"/>
    <x v="0"/>
  </r>
  <r>
    <x v="281"/>
    <s v="Employee_282"/>
    <x v="3"/>
    <s v="Executive"/>
    <x v="1"/>
    <s v="2021-05-18"/>
    <x v="9"/>
    <s v="2021"/>
    <x v="138"/>
    <s v="Exited"/>
    <n v="1"/>
    <n v="0"/>
    <n v="1072330"/>
    <n v="2.2000000000000002"/>
    <s v="Manager D"/>
    <n v="84.4"/>
    <x v="0"/>
  </r>
  <r>
    <x v="282"/>
    <s v="Employee_283"/>
    <x v="2"/>
    <s v="Senior Executive"/>
    <x v="2"/>
    <s v="2018-04-20"/>
    <x v="0"/>
    <s v="2018"/>
    <x v="2"/>
    <s v="Active"/>
    <n v="0"/>
    <n v="1"/>
    <n v="216751"/>
    <n v="4.8"/>
    <s v="Manager A"/>
    <n v="98.5"/>
    <x v="1"/>
  </r>
  <r>
    <x v="283"/>
    <s v="Employee_284"/>
    <x v="1"/>
    <s v="Analyst"/>
    <x v="0"/>
    <s v="2024-06-07"/>
    <x v="3"/>
    <s v="2024"/>
    <x v="139"/>
    <s v="Exited"/>
    <n v="1"/>
    <n v="0"/>
    <n v="416360"/>
    <n v="4.0999999999999996"/>
    <s v="Manager A"/>
    <n v="85.7"/>
    <x v="1"/>
  </r>
  <r>
    <x v="284"/>
    <s v="Employee_285"/>
    <x v="0"/>
    <s v="Executive"/>
    <x v="3"/>
    <s v="2018-11-07"/>
    <x v="11"/>
    <s v="2018"/>
    <x v="140"/>
    <s v="Exited"/>
    <n v="1"/>
    <n v="0"/>
    <n v="663527"/>
    <n v="2.1"/>
    <s v="Manager D"/>
    <n v="89.5"/>
    <x v="0"/>
  </r>
  <r>
    <x v="285"/>
    <s v="Employee_286"/>
    <x v="1"/>
    <s v="Senior Executive"/>
    <x v="2"/>
    <s v="2018-10-14"/>
    <x v="7"/>
    <s v="2018"/>
    <x v="141"/>
    <s v="Exited"/>
    <n v="1"/>
    <n v="0"/>
    <n v="769620"/>
    <n v="4"/>
    <s v="Manager B"/>
    <n v="77.400000000000006"/>
    <x v="0"/>
  </r>
  <r>
    <x v="286"/>
    <s v="Employee_287"/>
    <x v="3"/>
    <s v="Senior Executive"/>
    <x v="1"/>
    <s v="2024-12-27"/>
    <x v="5"/>
    <s v="2024"/>
    <x v="82"/>
    <s v="Exited"/>
    <n v="1"/>
    <n v="0"/>
    <n v="726629"/>
    <n v="3"/>
    <s v="Manager C"/>
    <n v="98.6"/>
    <x v="0"/>
  </r>
  <r>
    <x v="287"/>
    <s v="Employee_288"/>
    <x v="3"/>
    <s v="Executive"/>
    <x v="2"/>
    <s v="2018-08-29"/>
    <x v="4"/>
    <s v="2018"/>
    <x v="2"/>
    <s v="Active"/>
    <n v="0"/>
    <n v="1"/>
    <n v="505074"/>
    <n v="3.4"/>
    <s v="Manager A"/>
    <n v="93.4"/>
    <x v="0"/>
  </r>
  <r>
    <x v="288"/>
    <s v="Employee_289"/>
    <x v="1"/>
    <s v="Senior Executive"/>
    <x v="0"/>
    <s v="2022-08-25"/>
    <x v="4"/>
    <s v="2022"/>
    <x v="2"/>
    <s v="Active"/>
    <n v="0"/>
    <n v="1"/>
    <n v="680800"/>
    <n v="4.5"/>
    <s v="Manager A"/>
    <n v="99.6"/>
    <x v="1"/>
  </r>
  <r>
    <x v="289"/>
    <s v="Employee_290"/>
    <x v="1"/>
    <s v="Executive"/>
    <x v="3"/>
    <s v="2021-08-15"/>
    <x v="4"/>
    <s v="2021"/>
    <x v="2"/>
    <s v="Active"/>
    <n v="0"/>
    <n v="1"/>
    <n v="503018"/>
    <n v="3.5"/>
    <s v="Manager D"/>
    <n v="98.3"/>
    <x v="0"/>
  </r>
  <r>
    <x v="290"/>
    <s v="Employee_291"/>
    <x v="0"/>
    <s v="Executive"/>
    <x v="1"/>
    <s v="2018-08-06"/>
    <x v="4"/>
    <s v="2018"/>
    <x v="2"/>
    <s v="Active"/>
    <n v="0"/>
    <n v="1"/>
    <n v="506844"/>
    <n v="4.2"/>
    <s v="Manager A"/>
    <n v="79.900000000000006"/>
    <x v="1"/>
  </r>
  <r>
    <x v="291"/>
    <s v="Employee_292"/>
    <x v="3"/>
    <s v="Senior Executive"/>
    <x v="1"/>
    <s v="2023-03-10"/>
    <x v="8"/>
    <s v="2023"/>
    <x v="142"/>
    <s v="Exited"/>
    <n v="1"/>
    <n v="0"/>
    <n v="986953"/>
    <n v="3"/>
    <s v="Manager D"/>
    <n v="81"/>
    <x v="0"/>
  </r>
  <r>
    <x v="292"/>
    <s v="Employee_293"/>
    <x v="2"/>
    <s v="Senior Executive"/>
    <x v="0"/>
    <s v="2020-12-20"/>
    <x v="5"/>
    <s v="2020"/>
    <x v="2"/>
    <s v="Active"/>
    <n v="0"/>
    <n v="1"/>
    <n v="714626"/>
    <n v="4.0999999999999996"/>
    <s v="Manager C"/>
    <n v="76.400000000000006"/>
    <x v="1"/>
  </r>
  <r>
    <x v="293"/>
    <s v="Employee_294"/>
    <x v="3"/>
    <s v="Analyst"/>
    <x v="2"/>
    <s v="2018-09-22"/>
    <x v="1"/>
    <s v="2018"/>
    <x v="2"/>
    <s v="Active"/>
    <n v="0"/>
    <n v="1"/>
    <n v="469423"/>
    <n v="2.9"/>
    <s v="Manager D"/>
    <n v="80.900000000000006"/>
    <x v="0"/>
  </r>
  <r>
    <x v="294"/>
    <s v="Employee_295"/>
    <x v="2"/>
    <s v="Analyst"/>
    <x v="2"/>
    <s v="2019-05-02"/>
    <x v="9"/>
    <s v="2019"/>
    <x v="2"/>
    <s v="Active"/>
    <n v="0"/>
    <n v="1"/>
    <n v="269228"/>
    <n v="4.4000000000000004"/>
    <s v="Manager C"/>
    <n v="92.8"/>
    <x v="1"/>
  </r>
  <r>
    <x v="295"/>
    <s v="Employee_296"/>
    <x v="1"/>
    <s v="Manager"/>
    <x v="1"/>
    <s v="2020-06-26"/>
    <x v="3"/>
    <s v="2020"/>
    <x v="2"/>
    <s v="Active"/>
    <n v="0"/>
    <n v="1"/>
    <n v="835248"/>
    <n v="2.8"/>
    <s v="Manager D"/>
    <n v="88.5"/>
    <x v="0"/>
  </r>
  <r>
    <x v="296"/>
    <s v="Employee_297"/>
    <x v="1"/>
    <s v="Analyst"/>
    <x v="2"/>
    <s v="2022-12-14"/>
    <x v="5"/>
    <s v="2022"/>
    <x v="143"/>
    <s v="Exited"/>
    <n v="1"/>
    <n v="0"/>
    <n v="361145"/>
    <n v="2.2999999999999998"/>
    <s v="Manager A"/>
    <n v="92.1"/>
    <x v="0"/>
  </r>
  <r>
    <x v="297"/>
    <s v="Employee_298"/>
    <x v="0"/>
    <s v="Senior Executive"/>
    <x v="3"/>
    <s v="2024-04-12"/>
    <x v="0"/>
    <s v="2024"/>
    <x v="144"/>
    <s v="Exited"/>
    <n v="1"/>
    <n v="0"/>
    <n v="595815"/>
    <n v="4.0999999999999996"/>
    <s v="Manager D"/>
    <n v="85.2"/>
    <x v="1"/>
  </r>
  <r>
    <x v="298"/>
    <s v="Employee_299"/>
    <x v="1"/>
    <s v="Senior Executive"/>
    <x v="2"/>
    <s v="2018-04-13"/>
    <x v="0"/>
    <s v="2018"/>
    <x v="145"/>
    <s v="Exited"/>
    <n v="1"/>
    <n v="0"/>
    <n v="687288"/>
    <n v="3.3"/>
    <s v="Manager A"/>
    <n v="85.6"/>
    <x v="0"/>
  </r>
  <r>
    <x v="299"/>
    <s v="Employee_300"/>
    <x v="0"/>
    <s v="Executive"/>
    <x v="1"/>
    <s v="2019-04-21"/>
    <x v="0"/>
    <s v="2019"/>
    <x v="2"/>
    <s v="Active"/>
    <n v="0"/>
    <n v="1"/>
    <n v="349303"/>
    <n v="4.0999999999999996"/>
    <s v="Manager B"/>
    <n v="98.7"/>
    <x v="1"/>
  </r>
  <r>
    <x v="300"/>
    <s v="Employee_301"/>
    <x v="4"/>
    <s v="Senior Executive"/>
    <x v="0"/>
    <s v="2024-04-10"/>
    <x v="0"/>
    <s v="2024"/>
    <x v="146"/>
    <s v="Exited"/>
    <n v="1"/>
    <n v="0"/>
    <n v="860569"/>
    <n v="2.5"/>
    <s v="Manager C"/>
    <n v="85.9"/>
    <x v="0"/>
  </r>
  <r>
    <x v="301"/>
    <s v="Employee_302"/>
    <x v="2"/>
    <s v="Executive"/>
    <x v="0"/>
    <s v="2022-06-06"/>
    <x v="3"/>
    <s v="2022"/>
    <x v="147"/>
    <s v="Exited"/>
    <n v="1"/>
    <n v="0"/>
    <n v="931883"/>
    <n v="4.4000000000000004"/>
    <s v="Manager B"/>
    <n v="78.599999999999994"/>
    <x v="1"/>
  </r>
  <r>
    <x v="302"/>
    <s v="Employee_303"/>
    <x v="2"/>
    <s v="Manager"/>
    <x v="3"/>
    <s v="2019-03-23"/>
    <x v="8"/>
    <s v="2019"/>
    <x v="2"/>
    <s v="Active"/>
    <n v="0"/>
    <n v="1"/>
    <n v="554562"/>
    <n v="3.7"/>
    <s v="Manager B"/>
    <n v="94.8"/>
    <x v="0"/>
  </r>
  <r>
    <x v="303"/>
    <s v="Employee_304"/>
    <x v="1"/>
    <s v="Executive"/>
    <x v="3"/>
    <s v="2022-12-15"/>
    <x v="5"/>
    <s v="2022"/>
    <x v="2"/>
    <s v="Active"/>
    <n v="0"/>
    <n v="1"/>
    <n v="1053018"/>
    <n v="4.4000000000000004"/>
    <s v="Manager D"/>
    <n v="84.2"/>
    <x v="1"/>
  </r>
  <r>
    <x v="304"/>
    <s v="Employee_305"/>
    <x v="2"/>
    <s v="Manager"/>
    <x v="0"/>
    <s v="2022-06-06"/>
    <x v="3"/>
    <s v="2022"/>
    <x v="148"/>
    <s v="Exited"/>
    <n v="1"/>
    <n v="0"/>
    <n v="715604"/>
    <n v="3.9"/>
    <s v="Manager C"/>
    <n v="97"/>
    <x v="0"/>
  </r>
  <r>
    <x v="305"/>
    <s v="Employee_306"/>
    <x v="1"/>
    <s v="Executive"/>
    <x v="1"/>
    <s v="2018-06-27"/>
    <x v="3"/>
    <s v="2018"/>
    <x v="2"/>
    <s v="Active"/>
    <n v="0"/>
    <n v="1"/>
    <n v="337120"/>
    <n v="4.5"/>
    <s v="Manager D"/>
    <n v="92.2"/>
    <x v="1"/>
  </r>
  <r>
    <x v="306"/>
    <s v="Employee_307"/>
    <x v="3"/>
    <s v="Executive"/>
    <x v="3"/>
    <s v="2023-08-25"/>
    <x v="4"/>
    <s v="2023"/>
    <x v="2"/>
    <s v="Active"/>
    <n v="0"/>
    <n v="1"/>
    <n v="1195439"/>
    <n v="3.4"/>
    <s v="Manager D"/>
    <n v="86.1"/>
    <x v="0"/>
  </r>
  <r>
    <x v="307"/>
    <s v="Employee_308"/>
    <x v="1"/>
    <s v="Analyst"/>
    <x v="0"/>
    <s v="2018-12-04"/>
    <x v="5"/>
    <s v="2018"/>
    <x v="2"/>
    <s v="Active"/>
    <n v="0"/>
    <n v="1"/>
    <n v="534158"/>
    <n v="3.8"/>
    <s v="Manager C"/>
    <n v="89.5"/>
    <x v="0"/>
  </r>
  <r>
    <x v="308"/>
    <s v="Employee_309"/>
    <x v="2"/>
    <s v="Manager"/>
    <x v="2"/>
    <s v="2021-09-27"/>
    <x v="1"/>
    <s v="2021"/>
    <x v="149"/>
    <s v="Exited"/>
    <n v="1"/>
    <n v="0"/>
    <n v="210116"/>
    <n v="4.2"/>
    <s v="Manager D"/>
    <n v="93.2"/>
    <x v="1"/>
  </r>
  <r>
    <x v="309"/>
    <s v="Employee_310"/>
    <x v="1"/>
    <s v="Senior Executive"/>
    <x v="1"/>
    <s v="2019-01-27"/>
    <x v="10"/>
    <s v="2019"/>
    <x v="150"/>
    <s v="Exited"/>
    <n v="1"/>
    <n v="0"/>
    <n v="679545"/>
    <n v="4.5999999999999996"/>
    <s v="Manager B"/>
    <n v="76"/>
    <x v="1"/>
  </r>
  <r>
    <x v="310"/>
    <s v="Employee_311"/>
    <x v="0"/>
    <s v="Senior Executive"/>
    <x v="1"/>
    <s v="2022-07-13"/>
    <x v="2"/>
    <s v="2022"/>
    <x v="2"/>
    <s v="Active"/>
    <n v="0"/>
    <n v="1"/>
    <n v="996787"/>
    <n v="2.9"/>
    <s v="Manager C"/>
    <n v="85.1"/>
    <x v="0"/>
  </r>
  <r>
    <x v="311"/>
    <s v="Employee_312"/>
    <x v="1"/>
    <s v="Senior Executive"/>
    <x v="3"/>
    <s v="2022-07-30"/>
    <x v="2"/>
    <s v="2022"/>
    <x v="151"/>
    <s v="Exited"/>
    <n v="1"/>
    <n v="0"/>
    <n v="713524"/>
    <n v="3.8"/>
    <s v="Manager A"/>
    <n v="77.900000000000006"/>
    <x v="0"/>
  </r>
  <r>
    <x v="312"/>
    <s v="Employee_313"/>
    <x v="0"/>
    <s v="Manager"/>
    <x v="3"/>
    <s v="2022-02-24"/>
    <x v="6"/>
    <s v="2022"/>
    <x v="152"/>
    <s v="Exited"/>
    <n v="1"/>
    <n v="0"/>
    <n v="808906"/>
    <n v="3.7"/>
    <s v="Manager C"/>
    <n v="85.9"/>
    <x v="0"/>
  </r>
  <r>
    <x v="313"/>
    <s v="Employee_314"/>
    <x v="3"/>
    <s v="Senior Executive"/>
    <x v="2"/>
    <s v="2021-06-21"/>
    <x v="3"/>
    <s v="2021"/>
    <x v="153"/>
    <s v="Exited"/>
    <n v="1"/>
    <n v="0"/>
    <n v="235393"/>
    <n v="3.5"/>
    <s v="Manager A"/>
    <n v="98.3"/>
    <x v="0"/>
  </r>
  <r>
    <x v="314"/>
    <s v="Employee_315"/>
    <x v="0"/>
    <s v="Manager"/>
    <x v="3"/>
    <s v="2024-04-07"/>
    <x v="0"/>
    <s v="2024"/>
    <x v="2"/>
    <s v="Active"/>
    <n v="0"/>
    <n v="1"/>
    <n v="1186684"/>
    <n v="2.7"/>
    <s v="Manager A"/>
    <n v="98.1"/>
    <x v="0"/>
  </r>
  <r>
    <x v="315"/>
    <s v="Employee_316"/>
    <x v="0"/>
    <s v="Analyst"/>
    <x v="3"/>
    <s v="2023-01-16"/>
    <x v="10"/>
    <s v="2023"/>
    <x v="2"/>
    <s v="Active"/>
    <n v="0"/>
    <n v="1"/>
    <n v="447697"/>
    <n v="4.2"/>
    <s v="Manager D"/>
    <n v="92.8"/>
    <x v="1"/>
  </r>
  <r>
    <x v="316"/>
    <s v="Employee_317"/>
    <x v="3"/>
    <s v="Manager"/>
    <x v="3"/>
    <s v="2020-10-06"/>
    <x v="7"/>
    <s v="2020"/>
    <x v="154"/>
    <s v="Exited"/>
    <n v="1"/>
    <n v="0"/>
    <n v="325033"/>
    <n v="4.5999999999999996"/>
    <s v="Manager B"/>
    <n v="75.2"/>
    <x v="1"/>
  </r>
  <r>
    <x v="317"/>
    <s v="Employee_318"/>
    <x v="4"/>
    <s v="Analyst"/>
    <x v="3"/>
    <s v="2020-02-18"/>
    <x v="6"/>
    <s v="2020"/>
    <x v="155"/>
    <s v="Exited"/>
    <n v="1"/>
    <n v="0"/>
    <n v="644851"/>
    <n v="3.1"/>
    <s v="Manager B"/>
    <n v="83.3"/>
    <x v="0"/>
  </r>
  <r>
    <x v="318"/>
    <s v="Employee_319"/>
    <x v="3"/>
    <s v="Executive"/>
    <x v="2"/>
    <s v="2022-09-08"/>
    <x v="1"/>
    <s v="2022"/>
    <x v="2"/>
    <s v="Active"/>
    <n v="0"/>
    <n v="1"/>
    <n v="1097494"/>
    <n v="2.8"/>
    <s v="Manager C"/>
    <n v="99.4"/>
    <x v="0"/>
  </r>
  <r>
    <x v="319"/>
    <s v="Employee_320"/>
    <x v="0"/>
    <s v="Manager"/>
    <x v="3"/>
    <s v="2023-09-25"/>
    <x v="1"/>
    <s v="2023"/>
    <x v="156"/>
    <s v="Exited"/>
    <n v="1"/>
    <n v="0"/>
    <n v="1062324"/>
    <n v="5"/>
    <s v="Manager A"/>
    <n v="75.5"/>
    <x v="1"/>
  </r>
  <r>
    <x v="320"/>
    <s v="Employee_321"/>
    <x v="3"/>
    <s v="Analyst"/>
    <x v="0"/>
    <s v="2019-07-28"/>
    <x v="2"/>
    <s v="2019"/>
    <x v="2"/>
    <s v="Active"/>
    <n v="0"/>
    <n v="1"/>
    <n v="331816"/>
    <n v="2.9"/>
    <s v="Manager A"/>
    <n v="85.8"/>
    <x v="0"/>
  </r>
  <r>
    <x v="321"/>
    <s v="Employee_322"/>
    <x v="4"/>
    <s v="Analyst"/>
    <x v="3"/>
    <s v="2019-09-16"/>
    <x v="1"/>
    <s v="2019"/>
    <x v="2"/>
    <s v="Active"/>
    <n v="0"/>
    <n v="1"/>
    <n v="746649"/>
    <n v="3.5"/>
    <s v="Manager C"/>
    <n v="91.5"/>
    <x v="0"/>
  </r>
  <r>
    <x v="322"/>
    <s v="Employee_323"/>
    <x v="3"/>
    <s v="Analyst"/>
    <x v="3"/>
    <s v="2023-08-16"/>
    <x v="4"/>
    <s v="2023"/>
    <x v="2"/>
    <s v="Active"/>
    <n v="0"/>
    <n v="1"/>
    <n v="1019757"/>
    <n v="2.7"/>
    <s v="Manager B"/>
    <n v="81.3"/>
    <x v="0"/>
  </r>
  <r>
    <x v="323"/>
    <s v="Employee_324"/>
    <x v="4"/>
    <s v="Executive"/>
    <x v="3"/>
    <s v="2021-09-11"/>
    <x v="1"/>
    <s v="2021"/>
    <x v="2"/>
    <s v="Active"/>
    <n v="0"/>
    <n v="1"/>
    <n v="978350"/>
    <n v="2"/>
    <s v="Manager D"/>
    <n v="93.9"/>
    <x v="0"/>
  </r>
  <r>
    <x v="324"/>
    <s v="Employee_325"/>
    <x v="3"/>
    <s v="Manager"/>
    <x v="2"/>
    <s v="2021-10-11"/>
    <x v="7"/>
    <s v="2021"/>
    <x v="157"/>
    <s v="Exited"/>
    <n v="1"/>
    <n v="0"/>
    <n v="587752"/>
    <n v="3.6"/>
    <s v="Manager B"/>
    <n v="95.7"/>
    <x v="0"/>
  </r>
  <r>
    <x v="325"/>
    <s v="Employee_326"/>
    <x v="4"/>
    <s v="Senior Executive"/>
    <x v="2"/>
    <s v="2020-02-05"/>
    <x v="6"/>
    <s v="2020"/>
    <x v="158"/>
    <s v="Exited"/>
    <n v="1"/>
    <n v="0"/>
    <n v="999571"/>
    <n v="3.8"/>
    <s v="Manager A"/>
    <n v="99.8"/>
    <x v="0"/>
  </r>
  <r>
    <x v="326"/>
    <s v="Employee_327"/>
    <x v="4"/>
    <s v="Manager"/>
    <x v="0"/>
    <s v="2022-07-21"/>
    <x v="2"/>
    <s v="2022"/>
    <x v="159"/>
    <s v="Exited"/>
    <n v="1"/>
    <n v="0"/>
    <n v="861916"/>
    <n v="3.8"/>
    <s v="Manager B"/>
    <n v="83.3"/>
    <x v="0"/>
  </r>
  <r>
    <x v="327"/>
    <s v="Employee_328"/>
    <x v="1"/>
    <s v="Senior Executive"/>
    <x v="2"/>
    <s v="2021-01-23"/>
    <x v="10"/>
    <s v="2021"/>
    <x v="2"/>
    <s v="Active"/>
    <n v="0"/>
    <n v="1"/>
    <n v="1122092"/>
    <n v="2.2000000000000002"/>
    <s v="Manager C"/>
    <n v="75.599999999999994"/>
    <x v="0"/>
  </r>
  <r>
    <x v="328"/>
    <s v="Employee_329"/>
    <x v="3"/>
    <s v="Analyst"/>
    <x v="2"/>
    <s v="2023-10-28"/>
    <x v="7"/>
    <s v="2023"/>
    <x v="2"/>
    <s v="Active"/>
    <n v="0"/>
    <n v="1"/>
    <n v="1133526"/>
    <n v="3.1"/>
    <s v="Manager B"/>
    <n v="86.1"/>
    <x v="0"/>
  </r>
  <r>
    <x v="329"/>
    <s v="Employee_330"/>
    <x v="3"/>
    <s v="Analyst"/>
    <x v="0"/>
    <s v="2021-09-27"/>
    <x v="1"/>
    <s v="2021"/>
    <x v="2"/>
    <s v="Active"/>
    <n v="0"/>
    <n v="1"/>
    <n v="254174"/>
    <n v="3.6"/>
    <s v="Manager A"/>
    <n v="81.5"/>
    <x v="0"/>
  </r>
  <r>
    <x v="330"/>
    <s v="Employee_331"/>
    <x v="3"/>
    <s v="Senior Executive"/>
    <x v="3"/>
    <s v="2023-10-04"/>
    <x v="7"/>
    <s v="2023"/>
    <x v="2"/>
    <s v="Active"/>
    <n v="0"/>
    <n v="1"/>
    <n v="1165406"/>
    <n v="3.8"/>
    <s v="Manager C"/>
    <n v="84.2"/>
    <x v="0"/>
  </r>
  <r>
    <x v="331"/>
    <s v="Employee_332"/>
    <x v="1"/>
    <s v="Executive"/>
    <x v="0"/>
    <s v="2024-07-08"/>
    <x v="2"/>
    <s v="2024"/>
    <x v="2"/>
    <s v="Active"/>
    <n v="0"/>
    <n v="1"/>
    <n v="630464"/>
    <n v="3.6"/>
    <s v="Manager C"/>
    <n v="87.5"/>
    <x v="0"/>
  </r>
  <r>
    <x v="332"/>
    <s v="Employee_333"/>
    <x v="3"/>
    <s v="Senior Executive"/>
    <x v="0"/>
    <s v="2018-02-01"/>
    <x v="6"/>
    <s v="2018"/>
    <x v="2"/>
    <s v="Active"/>
    <n v="0"/>
    <n v="1"/>
    <n v="666617"/>
    <n v="4.5999999999999996"/>
    <s v="Manager D"/>
    <n v="93.2"/>
    <x v="1"/>
  </r>
  <r>
    <x v="333"/>
    <s v="Employee_334"/>
    <x v="4"/>
    <s v="Analyst"/>
    <x v="3"/>
    <s v="2021-11-29"/>
    <x v="11"/>
    <s v="2021"/>
    <x v="2"/>
    <s v="Active"/>
    <n v="0"/>
    <n v="1"/>
    <n v="484085"/>
    <n v="2.1"/>
    <s v="Manager B"/>
    <n v="89.2"/>
    <x v="0"/>
  </r>
  <r>
    <x v="334"/>
    <s v="Employee_335"/>
    <x v="1"/>
    <s v="Manager"/>
    <x v="2"/>
    <s v="2019-05-24"/>
    <x v="9"/>
    <s v="2019"/>
    <x v="2"/>
    <s v="Active"/>
    <n v="0"/>
    <n v="1"/>
    <n v="866290"/>
    <n v="3.7"/>
    <s v="Manager D"/>
    <n v="99.5"/>
    <x v="0"/>
  </r>
  <r>
    <x v="335"/>
    <s v="Employee_336"/>
    <x v="3"/>
    <s v="Executive"/>
    <x v="1"/>
    <s v="2018-03-22"/>
    <x v="8"/>
    <s v="2018"/>
    <x v="2"/>
    <s v="Active"/>
    <n v="0"/>
    <n v="1"/>
    <n v="209922"/>
    <n v="5"/>
    <s v="Manager B"/>
    <n v="82.5"/>
    <x v="1"/>
  </r>
  <r>
    <x v="336"/>
    <s v="Employee_337"/>
    <x v="3"/>
    <s v="Manager"/>
    <x v="2"/>
    <s v="2018-06-25"/>
    <x v="3"/>
    <s v="2018"/>
    <x v="2"/>
    <s v="Active"/>
    <n v="0"/>
    <n v="1"/>
    <n v="280286"/>
    <n v="2.8"/>
    <s v="Manager D"/>
    <n v="85.4"/>
    <x v="0"/>
  </r>
  <r>
    <x v="337"/>
    <s v="Employee_338"/>
    <x v="1"/>
    <s v="Analyst"/>
    <x v="1"/>
    <s v="2021-11-17"/>
    <x v="11"/>
    <s v="2021"/>
    <x v="54"/>
    <s v="Exited"/>
    <n v="1"/>
    <n v="0"/>
    <n v="474858"/>
    <n v="3.4"/>
    <s v="Manager B"/>
    <n v="92.7"/>
    <x v="0"/>
  </r>
  <r>
    <x v="338"/>
    <s v="Employee_339"/>
    <x v="4"/>
    <s v="Analyst"/>
    <x v="3"/>
    <s v="2020-11-23"/>
    <x v="11"/>
    <s v="2020"/>
    <x v="2"/>
    <s v="Active"/>
    <n v="0"/>
    <n v="1"/>
    <n v="1035430"/>
    <n v="3.7"/>
    <s v="Manager C"/>
    <n v="90.7"/>
    <x v="0"/>
  </r>
  <r>
    <x v="339"/>
    <s v="Employee_340"/>
    <x v="4"/>
    <s v="Executive"/>
    <x v="0"/>
    <s v="2019-03-31"/>
    <x v="8"/>
    <s v="2019"/>
    <x v="160"/>
    <s v="Exited"/>
    <n v="1"/>
    <n v="0"/>
    <n v="391013"/>
    <n v="4.7"/>
    <s v="Manager D"/>
    <n v="95.4"/>
    <x v="1"/>
  </r>
  <r>
    <x v="340"/>
    <s v="Employee_341"/>
    <x v="1"/>
    <s v="Executive"/>
    <x v="2"/>
    <s v="2020-11-15"/>
    <x v="11"/>
    <s v="2020"/>
    <x v="2"/>
    <s v="Active"/>
    <n v="0"/>
    <n v="1"/>
    <n v="741271"/>
    <n v="2.7"/>
    <s v="Manager D"/>
    <n v="90.6"/>
    <x v="0"/>
  </r>
  <r>
    <x v="341"/>
    <s v="Employee_342"/>
    <x v="3"/>
    <s v="Senior Executive"/>
    <x v="1"/>
    <s v="2018-10-21"/>
    <x v="7"/>
    <s v="2018"/>
    <x v="2"/>
    <s v="Active"/>
    <n v="0"/>
    <n v="1"/>
    <n v="899712"/>
    <n v="3.9"/>
    <s v="Manager C"/>
    <n v="97.3"/>
    <x v="0"/>
  </r>
  <r>
    <x v="342"/>
    <s v="Employee_343"/>
    <x v="3"/>
    <s v="Manager"/>
    <x v="3"/>
    <s v="2021-04-07"/>
    <x v="0"/>
    <s v="2021"/>
    <x v="2"/>
    <s v="Active"/>
    <n v="0"/>
    <n v="1"/>
    <n v="790033"/>
    <n v="3.4"/>
    <s v="Manager B"/>
    <n v="98"/>
    <x v="0"/>
  </r>
  <r>
    <x v="343"/>
    <s v="Employee_344"/>
    <x v="2"/>
    <s v="Manager"/>
    <x v="1"/>
    <s v="2018-05-05"/>
    <x v="9"/>
    <s v="2018"/>
    <x v="2"/>
    <s v="Active"/>
    <n v="0"/>
    <n v="1"/>
    <n v="793342"/>
    <n v="2.5"/>
    <s v="Manager C"/>
    <n v="89.5"/>
    <x v="0"/>
  </r>
  <r>
    <x v="344"/>
    <s v="Employee_345"/>
    <x v="3"/>
    <s v="Analyst"/>
    <x v="1"/>
    <s v="2024-11-25"/>
    <x v="11"/>
    <s v="2024"/>
    <x v="2"/>
    <s v="Active"/>
    <n v="0"/>
    <n v="1"/>
    <n v="645062"/>
    <n v="4.3"/>
    <s v="Manager C"/>
    <n v="92.2"/>
    <x v="1"/>
  </r>
  <r>
    <x v="345"/>
    <s v="Employee_346"/>
    <x v="4"/>
    <s v="Senior Executive"/>
    <x v="3"/>
    <s v="2024-05-03"/>
    <x v="9"/>
    <s v="2024"/>
    <x v="161"/>
    <s v="Exited"/>
    <n v="1"/>
    <n v="0"/>
    <n v="591549"/>
    <n v="4.5"/>
    <s v="Manager B"/>
    <n v="93.5"/>
    <x v="1"/>
  </r>
  <r>
    <x v="346"/>
    <s v="Employee_347"/>
    <x v="3"/>
    <s v="Executive"/>
    <x v="1"/>
    <s v="2021-07-12"/>
    <x v="2"/>
    <s v="2021"/>
    <x v="2"/>
    <s v="Active"/>
    <n v="0"/>
    <n v="1"/>
    <n v="895858"/>
    <n v="3.9"/>
    <s v="Manager A"/>
    <n v="89.3"/>
    <x v="0"/>
  </r>
  <r>
    <x v="347"/>
    <s v="Employee_348"/>
    <x v="3"/>
    <s v="Analyst"/>
    <x v="0"/>
    <s v="2021-01-01"/>
    <x v="10"/>
    <s v="2021"/>
    <x v="162"/>
    <s v="Exited"/>
    <n v="1"/>
    <n v="0"/>
    <n v="1068892"/>
    <n v="3.4"/>
    <s v="Manager A"/>
    <n v="90.5"/>
    <x v="0"/>
  </r>
  <r>
    <x v="348"/>
    <s v="Employee_349"/>
    <x v="4"/>
    <s v="Analyst"/>
    <x v="1"/>
    <s v="2024-09-11"/>
    <x v="1"/>
    <s v="2024"/>
    <x v="2"/>
    <s v="Active"/>
    <n v="0"/>
    <n v="1"/>
    <n v="486495"/>
    <n v="2.7"/>
    <s v="Manager B"/>
    <n v="93.2"/>
    <x v="0"/>
  </r>
  <r>
    <x v="349"/>
    <s v="Employee_350"/>
    <x v="1"/>
    <s v="Senior Executive"/>
    <x v="1"/>
    <s v="2023-03-26"/>
    <x v="8"/>
    <s v="2023"/>
    <x v="2"/>
    <s v="Active"/>
    <n v="0"/>
    <n v="1"/>
    <n v="210268"/>
    <n v="2.8"/>
    <s v="Manager C"/>
    <n v="91.9"/>
    <x v="0"/>
  </r>
  <r>
    <x v="350"/>
    <s v="Employee_351"/>
    <x v="3"/>
    <s v="Executive"/>
    <x v="3"/>
    <s v="2022-02-28"/>
    <x v="6"/>
    <s v="2022"/>
    <x v="2"/>
    <s v="Active"/>
    <n v="0"/>
    <n v="1"/>
    <n v="863948"/>
    <n v="3.3"/>
    <s v="Manager C"/>
    <n v="92.7"/>
    <x v="0"/>
  </r>
  <r>
    <x v="351"/>
    <s v="Employee_352"/>
    <x v="3"/>
    <s v="Executive"/>
    <x v="2"/>
    <s v="2024-03-07"/>
    <x v="8"/>
    <s v="2024"/>
    <x v="2"/>
    <s v="Active"/>
    <n v="0"/>
    <n v="1"/>
    <n v="1091380"/>
    <n v="4.9000000000000004"/>
    <s v="Manager A"/>
    <n v="86.1"/>
    <x v="1"/>
  </r>
  <r>
    <x v="352"/>
    <s v="Employee_353"/>
    <x v="3"/>
    <s v="Analyst"/>
    <x v="2"/>
    <s v="2022-08-02"/>
    <x v="4"/>
    <s v="2022"/>
    <x v="2"/>
    <s v="Active"/>
    <n v="0"/>
    <n v="1"/>
    <n v="542747"/>
    <n v="4.5999999999999996"/>
    <s v="Manager B"/>
    <n v="99.8"/>
    <x v="1"/>
  </r>
  <r>
    <x v="353"/>
    <s v="Employee_354"/>
    <x v="3"/>
    <s v="Senior Executive"/>
    <x v="0"/>
    <s v="2021-09-07"/>
    <x v="1"/>
    <s v="2021"/>
    <x v="2"/>
    <s v="Active"/>
    <n v="0"/>
    <n v="1"/>
    <n v="457540"/>
    <n v="2.5"/>
    <s v="Manager B"/>
    <n v="84.1"/>
    <x v="0"/>
  </r>
  <r>
    <x v="354"/>
    <s v="Employee_355"/>
    <x v="1"/>
    <s v="Manager"/>
    <x v="0"/>
    <s v="2023-04-02"/>
    <x v="0"/>
    <s v="2023"/>
    <x v="2"/>
    <s v="Active"/>
    <n v="0"/>
    <n v="1"/>
    <n v="997633"/>
    <n v="4.0999999999999996"/>
    <s v="Manager C"/>
    <n v="96.7"/>
    <x v="1"/>
  </r>
  <r>
    <x v="355"/>
    <s v="Employee_356"/>
    <x v="1"/>
    <s v="Manager"/>
    <x v="2"/>
    <s v="2021-02-24"/>
    <x v="6"/>
    <s v="2021"/>
    <x v="163"/>
    <s v="Exited"/>
    <n v="1"/>
    <n v="0"/>
    <n v="900526"/>
    <n v="4.5"/>
    <s v="Manager B"/>
    <n v="75.400000000000006"/>
    <x v="1"/>
  </r>
  <r>
    <x v="356"/>
    <s v="Employee_357"/>
    <x v="0"/>
    <s v="Executive"/>
    <x v="1"/>
    <s v="2018-01-10"/>
    <x v="10"/>
    <s v="2018"/>
    <x v="2"/>
    <s v="Active"/>
    <n v="0"/>
    <n v="1"/>
    <n v="337353"/>
    <n v="4.2"/>
    <s v="Manager B"/>
    <n v="85.1"/>
    <x v="1"/>
  </r>
  <r>
    <x v="357"/>
    <s v="Employee_358"/>
    <x v="3"/>
    <s v="Analyst"/>
    <x v="0"/>
    <s v="2024-02-05"/>
    <x v="6"/>
    <s v="2024"/>
    <x v="2"/>
    <s v="Active"/>
    <n v="0"/>
    <n v="1"/>
    <n v="906969"/>
    <n v="3.6"/>
    <s v="Manager A"/>
    <n v="94.8"/>
    <x v="0"/>
  </r>
  <r>
    <x v="358"/>
    <s v="Employee_359"/>
    <x v="1"/>
    <s v="Manager"/>
    <x v="3"/>
    <s v="2020-08-02"/>
    <x v="4"/>
    <s v="2020"/>
    <x v="2"/>
    <s v="Active"/>
    <n v="0"/>
    <n v="1"/>
    <n v="318632"/>
    <n v="4"/>
    <s v="Manager A"/>
    <n v="99"/>
    <x v="0"/>
  </r>
  <r>
    <x v="359"/>
    <s v="Employee_360"/>
    <x v="2"/>
    <s v="Senior Executive"/>
    <x v="2"/>
    <s v="2024-08-05"/>
    <x v="4"/>
    <s v="2024"/>
    <x v="164"/>
    <s v="Exited"/>
    <n v="1"/>
    <n v="0"/>
    <n v="1115920"/>
    <n v="4.9000000000000004"/>
    <s v="Manager A"/>
    <n v="84.1"/>
    <x v="1"/>
  </r>
  <r>
    <x v="360"/>
    <s v="Employee_361"/>
    <x v="0"/>
    <s v="Manager"/>
    <x v="0"/>
    <s v="2024-08-22"/>
    <x v="4"/>
    <s v="2024"/>
    <x v="2"/>
    <s v="Active"/>
    <n v="0"/>
    <n v="1"/>
    <n v="1023392"/>
    <n v="2.6"/>
    <s v="Manager A"/>
    <n v="98.1"/>
    <x v="0"/>
  </r>
  <r>
    <x v="361"/>
    <s v="Employee_362"/>
    <x v="0"/>
    <s v="Analyst"/>
    <x v="3"/>
    <s v="2023-04-07"/>
    <x v="0"/>
    <s v="2023"/>
    <x v="2"/>
    <s v="Active"/>
    <n v="0"/>
    <n v="1"/>
    <n v="314315"/>
    <n v="3.1"/>
    <s v="Manager A"/>
    <n v="77.8"/>
    <x v="0"/>
  </r>
  <r>
    <x v="362"/>
    <s v="Employee_363"/>
    <x v="3"/>
    <s v="Executive"/>
    <x v="0"/>
    <s v="2024-12-18"/>
    <x v="5"/>
    <s v="2024"/>
    <x v="2"/>
    <s v="Active"/>
    <n v="0"/>
    <n v="1"/>
    <n v="611423"/>
    <n v="2.5"/>
    <s v="Manager D"/>
    <n v="90.7"/>
    <x v="0"/>
  </r>
  <r>
    <x v="363"/>
    <s v="Employee_364"/>
    <x v="0"/>
    <s v="Executive"/>
    <x v="3"/>
    <s v="2018-05-26"/>
    <x v="9"/>
    <s v="2018"/>
    <x v="165"/>
    <s v="Exited"/>
    <n v="1"/>
    <n v="0"/>
    <n v="1004067"/>
    <n v="2.4"/>
    <s v="Manager B"/>
    <n v="87.9"/>
    <x v="0"/>
  </r>
  <r>
    <x v="364"/>
    <s v="Employee_365"/>
    <x v="0"/>
    <s v="Analyst"/>
    <x v="2"/>
    <s v="2019-08-19"/>
    <x v="4"/>
    <s v="2019"/>
    <x v="166"/>
    <s v="Exited"/>
    <n v="1"/>
    <n v="0"/>
    <n v="480765"/>
    <n v="2.4"/>
    <s v="Manager C"/>
    <n v="79.5"/>
    <x v="0"/>
  </r>
  <r>
    <x v="365"/>
    <s v="Employee_366"/>
    <x v="1"/>
    <s v="Senior Executive"/>
    <x v="1"/>
    <s v="2024-04-25"/>
    <x v="0"/>
    <s v="2024"/>
    <x v="167"/>
    <s v="Exited"/>
    <n v="1"/>
    <n v="0"/>
    <n v="464835"/>
    <n v="4.2"/>
    <s v="Manager B"/>
    <n v="96.2"/>
    <x v="1"/>
  </r>
  <r>
    <x v="366"/>
    <s v="Employee_367"/>
    <x v="0"/>
    <s v="Executive"/>
    <x v="1"/>
    <s v="2020-06-01"/>
    <x v="3"/>
    <s v="2020"/>
    <x v="2"/>
    <s v="Active"/>
    <n v="0"/>
    <n v="1"/>
    <n v="219648"/>
    <n v="3.2"/>
    <s v="Manager C"/>
    <n v="80.8"/>
    <x v="0"/>
  </r>
  <r>
    <x v="367"/>
    <s v="Employee_368"/>
    <x v="1"/>
    <s v="Manager"/>
    <x v="2"/>
    <s v="2019-11-30"/>
    <x v="11"/>
    <s v="2019"/>
    <x v="168"/>
    <s v="Exited"/>
    <n v="1"/>
    <n v="0"/>
    <n v="1126005"/>
    <n v="2"/>
    <s v="Manager C"/>
    <n v="92.6"/>
    <x v="0"/>
  </r>
  <r>
    <x v="368"/>
    <s v="Employee_369"/>
    <x v="0"/>
    <s v="Executive"/>
    <x v="1"/>
    <s v="2020-04-22"/>
    <x v="0"/>
    <s v="2020"/>
    <x v="169"/>
    <s v="Exited"/>
    <n v="1"/>
    <n v="0"/>
    <n v="350575"/>
    <n v="4.5"/>
    <s v="Manager D"/>
    <n v="89.7"/>
    <x v="1"/>
  </r>
  <r>
    <x v="369"/>
    <s v="Employee_370"/>
    <x v="2"/>
    <s v="Analyst"/>
    <x v="1"/>
    <s v="2022-12-30"/>
    <x v="5"/>
    <s v="2022"/>
    <x v="2"/>
    <s v="Active"/>
    <n v="0"/>
    <n v="1"/>
    <n v="347276"/>
    <n v="4.5"/>
    <s v="Manager B"/>
    <n v="93.6"/>
    <x v="1"/>
  </r>
  <r>
    <x v="370"/>
    <s v="Employee_371"/>
    <x v="3"/>
    <s v="Executive"/>
    <x v="1"/>
    <s v="2018-01-19"/>
    <x v="10"/>
    <s v="2018"/>
    <x v="170"/>
    <s v="Exited"/>
    <n v="1"/>
    <n v="0"/>
    <n v="358708"/>
    <n v="4.0999999999999996"/>
    <s v="Manager A"/>
    <n v="91.9"/>
    <x v="1"/>
  </r>
  <r>
    <x v="371"/>
    <s v="Employee_372"/>
    <x v="1"/>
    <s v="Manager"/>
    <x v="3"/>
    <s v="2022-12-06"/>
    <x v="5"/>
    <s v="2022"/>
    <x v="2"/>
    <s v="Active"/>
    <n v="0"/>
    <n v="1"/>
    <n v="323747"/>
    <n v="3.9"/>
    <s v="Manager D"/>
    <n v="77.099999999999994"/>
    <x v="0"/>
  </r>
  <r>
    <x v="372"/>
    <s v="Employee_373"/>
    <x v="1"/>
    <s v="Senior Executive"/>
    <x v="3"/>
    <s v="2023-10-15"/>
    <x v="7"/>
    <s v="2023"/>
    <x v="171"/>
    <s v="Exited"/>
    <n v="1"/>
    <n v="0"/>
    <n v="793370"/>
    <n v="3.5"/>
    <s v="Manager C"/>
    <n v="92.9"/>
    <x v="0"/>
  </r>
  <r>
    <x v="373"/>
    <s v="Employee_374"/>
    <x v="4"/>
    <s v="Manager"/>
    <x v="0"/>
    <s v="2021-03-24"/>
    <x v="8"/>
    <s v="2021"/>
    <x v="172"/>
    <s v="Exited"/>
    <n v="1"/>
    <n v="0"/>
    <n v="963811"/>
    <n v="2"/>
    <s v="Manager A"/>
    <n v="78.400000000000006"/>
    <x v="0"/>
  </r>
  <r>
    <x v="374"/>
    <s v="Employee_375"/>
    <x v="3"/>
    <s v="Analyst"/>
    <x v="1"/>
    <s v="2018-02-15"/>
    <x v="6"/>
    <s v="2018"/>
    <x v="173"/>
    <s v="Exited"/>
    <n v="1"/>
    <n v="0"/>
    <n v="570930"/>
    <n v="3.7"/>
    <s v="Manager D"/>
    <n v="94.3"/>
    <x v="0"/>
  </r>
  <r>
    <x v="375"/>
    <s v="Employee_376"/>
    <x v="3"/>
    <s v="Analyst"/>
    <x v="1"/>
    <s v="2021-06-06"/>
    <x v="3"/>
    <s v="2021"/>
    <x v="2"/>
    <s v="Active"/>
    <n v="0"/>
    <n v="1"/>
    <n v="1069206"/>
    <n v="3.9"/>
    <s v="Manager C"/>
    <n v="99.4"/>
    <x v="0"/>
  </r>
  <r>
    <x v="376"/>
    <s v="Employee_377"/>
    <x v="1"/>
    <s v="Executive"/>
    <x v="1"/>
    <s v="2019-07-24"/>
    <x v="2"/>
    <s v="2019"/>
    <x v="174"/>
    <s v="Exited"/>
    <n v="1"/>
    <n v="0"/>
    <n v="310507"/>
    <n v="3.7"/>
    <s v="Manager D"/>
    <n v="79.599999999999994"/>
    <x v="0"/>
  </r>
  <r>
    <x v="377"/>
    <s v="Employee_378"/>
    <x v="3"/>
    <s v="Analyst"/>
    <x v="2"/>
    <s v="2021-03-09"/>
    <x v="8"/>
    <s v="2021"/>
    <x v="175"/>
    <s v="Exited"/>
    <n v="1"/>
    <n v="0"/>
    <n v="395972"/>
    <n v="2.8"/>
    <s v="Manager C"/>
    <n v="90.3"/>
    <x v="0"/>
  </r>
  <r>
    <x v="378"/>
    <s v="Employee_379"/>
    <x v="3"/>
    <s v="Analyst"/>
    <x v="3"/>
    <s v="2022-09-19"/>
    <x v="1"/>
    <s v="2022"/>
    <x v="2"/>
    <s v="Active"/>
    <n v="0"/>
    <n v="1"/>
    <n v="941720"/>
    <n v="3.3"/>
    <s v="Manager A"/>
    <n v="79.8"/>
    <x v="0"/>
  </r>
  <r>
    <x v="379"/>
    <s v="Employee_380"/>
    <x v="4"/>
    <s v="Analyst"/>
    <x v="1"/>
    <s v="2018-08-07"/>
    <x v="4"/>
    <s v="2018"/>
    <x v="2"/>
    <s v="Active"/>
    <n v="0"/>
    <n v="1"/>
    <n v="1165301"/>
    <n v="4.4000000000000004"/>
    <s v="Manager B"/>
    <n v="95.2"/>
    <x v="1"/>
  </r>
  <r>
    <x v="380"/>
    <s v="Employee_381"/>
    <x v="3"/>
    <s v="Senior Executive"/>
    <x v="0"/>
    <s v="2024-02-14"/>
    <x v="6"/>
    <s v="2024"/>
    <x v="2"/>
    <s v="Active"/>
    <n v="0"/>
    <n v="1"/>
    <n v="343351"/>
    <n v="2.2000000000000002"/>
    <s v="Manager B"/>
    <n v="94.7"/>
    <x v="0"/>
  </r>
  <r>
    <x v="381"/>
    <s v="Employee_382"/>
    <x v="0"/>
    <s v="Manager"/>
    <x v="2"/>
    <s v="2024-09-15"/>
    <x v="1"/>
    <s v="2024"/>
    <x v="2"/>
    <s v="Active"/>
    <n v="0"/>
    <n v="1"/>
    <n v="980287"/>
    <n v="4.7"/>
    <s v="Manager D"/>
    <n v="91.2"/>
    <x v="1"/>
  </r>
  <r>
    <x v="382"/>
    <s v="Employee_383"/>
    <x v="0"/>
    <s v="Analyst"/>
    <x v="3"/>
    <s v="2018-06-10"/>
    <x v="3"/>
    <s v="2018"/>
    <x v="2"/>
    <s v="Active"/>
    <n v="0"/>
    <n v="1"/>
    <n v="984351"/>
    <n v="4.5"/>
    <s v="Manager D"/>
    <n v="89.1"/>
    <x v="1"/>
  </r>
  <r>
    <x v="383"/>
    <s v="Employee_384"/>
    <x v="3"/>
    <s v="Analyst"/>
    <x v="3"/>
    <s v="2021-05-10"/>
    <x v="9"/>
    <s v="2021"/>
    <x v="176"/>
    <s v="Exited"/>
    <n v="1"/>
    <n v="0"/>
    <n v="1083748"/>
    <n v="4.2"/>
    <s v="Manager B"/>
    <n v="84.3"/>
    <x v="1"/>
  </r>
  <r>
    <x v="384"/>
    <s v="Employee_385"/>
    <x v="4"/>
    <s v="Executive"/>
    <x v="3"/>
    <s v="2018-09-21"/>
    <x v="1"/>
    <s v="2018"/>
    <x v="177"/>
    <s v="Exited"/>
    <n v="1"/>
    <n v="0"/>
    <n v="957188"/>
    <n v="3.6"/>
    <s v="Manager C"/>
    <n v="90.4"/>
    <x v="0"/>
  </r>
  <r>
    <x v="385"/>
    <s v="Employee_386"/>
    <x v="2"/>
    <s v="Senior Executive"/>
    <x v="2"/>
    <s v="2018-10-20"/>
    <x v="7"/>
    <s v="2018"/>
    <x v="2"/>
    <s v="Active"/>
    <n v="0"/>
    <n v="1"/>
    <n v="561046"/>
    <n v="4.7"/>
    <s v="Manager D"/>
    <n v="88.6"/>
    <x v="1"/>
  </r>
  <r>
    <x v="386"/>
    <s v="Employee_387"/>
    <x v="1"/>
    <s v="Senior Executive"/>
    <x v="3"/>
    <s v="2024-08-13"/>
    <x v="4"/>
    <s v="2024"/>
    <x v="178"/>
    <s v="Exited"/>
    <n v="1"/>
    <n v="0"/>
    <n v="1125925"/>
    <n v="2.2999999999999998"/>
    <s v="Manager B"/>
    <n v="93.4"/>
    <x v="0"/>
  </r>
  <r>
    <x v="387"/>
    <s v="Employee_388"/>
    <x v="1"/>
    <s v="Senior Executive"/>
    <x v="2"/>
    <s v="2018-11-11"/>
    <x v="11"/>
    <s v="2018"/>
    <x v="179"/>
    <s v="Exited"/>
    <n v="1"/>
    <n v="0"/>
    <n v="345591"/>
    <n v="5"/>
    <s v="Manager D"/>
    <n v="97.1"/>
    <x v="1"/>
  </r>
  <r>
    <x v="388"/>
    <s v="Employee_389"/>
    <x v="3"/>
    <s v="Analyst"/>
    <x v="2"/>
    <s v="2019-02-12"/>
    <x v="6"/>
    <s v="2019"/>
    <x v="2"/>
    <s v="Active"/>
    <n v="0"/>
    <n v="1"/>
    <n v="1178147"/>
    <n v="4"/>
    <s v="Manager B"/>
    <n v="76.8"/>
    <x v="0"/>
  </r>
  <r>
    <x v="389"/>
    <s v="Employee_390"/>
    <x v="1"/>
    <s v="Executive"/>
    <x v="0"/>
    <s v="2022-06-18"/>
    <x v="3"/>
    <s v="2022"/>
    <x v="180"/>
    <s v="Exited"/>
    <n v="1"/>
    <n v="0"/>
    <n v="867183"/>
    <n v="2.9"/>
    <s v="Manager B"/>
    <n v="81.5"/>
    <x v="0"/>
  </r>
  <r>
    <x v="390"/>
    <s v="Employee_391"/>
    <x v="3"/>
    <s v="Analyst"/>
    <x v="3"/>
    <s v="2018-04-17"/>
    <x v="0"/>
    <s v="2018"/>
    <x v="181"/>
    <s v="Exited"/>
    <n v="1"/>
    <n v="0"/>
    <n v="1064691"/>
    <n v="2.6"/>
    <s v="Manager A"/>
    <n v="92.5"/>
    <x v="0"/>
  </r>
  <r>
    <x v="391"/>
    <s v="Employee_392"/>
    <x v="3"/>
    <s v="Manager"/>
    <x v="3"/>
    <s v="2024-09-05"/>
    <x v="1"/>
    <s v="2024"/>
    <x v="182"/>
    <s v="Exited"/>
    <n v="1"/>
    <n v="0"/>
    <n v="449758"/>
    <n v="3.6"/>
    <s v="Manager D"/>
    <n v="86.1"/>
    <x v="0"/>
  </r>
  <r>
    <x v="392"/>
    <s v="Employee_393"/>
    <x v="2"/>
    <s v="Manager"/>
    <x v="2"/>
    <s v="2022-06-18"/>
    <x v="3"/>
    <s v="2022"/>
    <x v="2"/>
    <s v="Active"/>
    <n v="0"/>
    <n v="1"/>
    <n v="1170150"/>
    <n v="2.5"/>
    <s v="Manager B"/>
    <n v="98.4"/>
    <x v="0"/>
  </r>
  <r>
    <x v="393"/>
    <s v="Employee_394"/>
    <x v="2"/>
    <s v="Senior Executive"/>
    <x v="2"/>
    <s v="2020-08-29"/>
    <x v="4"/>
    <s v="2020"/>
    <x v="183"/>
    <s v="Exited"/>
    <n v="1"/>
    <n v="0"/>
    <n v="339620"/>
    <n v="4.5"/>
    <s v="Manager C"/>
    <n v="92.3"/>
    <x v="1"/>
  </r>
  <r>
    <x v="394"/>
    <s v="Employee_395"/>
    <x v="4"/>
    <s v="Manager"/>
    <x v="0"/>
    <s v="2021-07-26"/>
    <x v="2"/>
    <s v="2021"/>
    <x v="2"/>
    <s v="Active"/>
    <n v="0"/>
    <n v="1"/>
    <n v="370109"/>
    <n v="4.2"/>
    <s v="Manager D"/>
    <n v="99.1"/>
    <x v="1"/>
  </r>
  <r>
    <x v="395"/>
    <s v="Employee_396"/>
    <x v="3"/>
    <s v="Manager"/>
    <x v="0"/>
    <s v="2020-11-19"/>
    <x v="11"/>
    <s v="2020"/>
    <x v="2"/>
    <s v="Active"/>
    <n v="0"/>
    <n v="1"/>
    <n v="265357"/>
    <n v="3.7"/>
    <s v="Manager C"/>
    <n v="76.099999999999994"/>
    <x v="0"/>
  </r>
  <r>
    <x v="396"/>
    <s v="Employee_397"/>
    <x v="3"/>
    <s v="Analyst"/>
    <x v="1"/>
    <s v="2020-01-30"/>
    <x v="10"/>
    <s v="2020"/>
    <x v="2"/>
    <s v="Active"/>
    <n v="0"/>
    <n v="1"/>
    <n v="1001334"/>
    <n v="3.3"/>
    <s v="Manager A"/>
    <n v="95.6"/>
    <x v="0"/>
  </r>
  <r>
    <x v="397"/>
    <s v="Employee_398"/>
    <x v="0"/>
    <s v="Executive"/>
    <x v="0"/>
    <s v="2018-06-08"/>
    <x v="3"/>
    <s v="2018"/>
    <x v="2"/>
    <s v="Active"/>
    <n v="0"/>
    <n v="1"/>
    <n v="243523"/>
    <n v="4.9000000000000004"/>
    <s v="Manager B"/>
    <n v="88.8"/>
    <x v="1"/>
  </r>
  <r>
    <x v="398"/>
    <s v="Employee_399"/>
    <x v="4"/>
    <s v="Senior Executive"/>
    <x v="2"/>
    <s v="2018-09-10"/>
    <x v="1"/>
    <s v="2018"/>
    <x v="21"/>
    <s v="Exited"/>
    <n v="1"/>
    <n v="0"/>
    <n v="1156295"/>
    <n v="3.7"/>
    <s v="Manager C"/>
    <n v="89.1"/>
    <x v="0"/>
  </r>
  <r>
    <x v="399"/>
    <s v="Employee_400"/>
    <x v="0"/>
    <s v="Manager"/>
    <x v="1"/>
    <s v="2018-03-05"/>
    <x v="8"/>
    <s v="2018"/>
    <x v="2"/>
    <s v="Active"/>
    <n v="0"/>
    <n v="1"/>
    <n v="985334"/>
    <n v="2.7"/>
    <s v="Manager A"/>
    <n v="93"/>
    <x v="0"/>
  </r>
  <r>
    <x v="400"/>
    <s v="Employee_401"/>
    <x v="0"/>
    <s v="Executive"/>
    <x v="3"/>
    <s v="2024-01-17"/>
    <x v="10"/>
    <s v="2024"/>
    <x v="184"/>
    <s v="Exited"/>
    <n v="1"/>
    <n v="0"/>
    <n v="755218"/>
    <n v="4.7"/>
    <s v="Manager B"/>
    <n v="79.2"/>
    <x v="1"/>
  </r>
  <r>
    <x v="401"/>
    <s v="Employee_402"/>
    <x v="2"/>
    <s v="Manager"/>
    <x v="2"/>
    <s v="2023-04-08"/>
    <x v="0"/>
    <s v="2023"/>
    <x v="185"/>
    <s v="Exited"/>
    <n v="1"/>
    <n v="0"/>
    <n v="632606"/>
    <n v="4.4000000000000004"/>
    <s v="Manager D"/>
    <n v="86.8"/>
    <x v="1"/>
  </r>
  <r>
    <x v="402"/>
    <s v="Employee_403"/>
    <x v="4"/>
    <s v="Senior Executive"/>
    <x v="3"/>
    <s v="2021-10-12"/>
    <x v="7"/>
    <s v="2021"/>
    <x v="2"/>
    <s v="Active"/>
    <n v="0"/>
    <n v="1"/>
    <n v="433399"/>
    <n v="3.8"/>
    <s v="Manager C"/>
    <n v="82.3"/>
    <x v="0"/>
  </r>
  <r>
    <x v="403"/>
    <s v="Employee_404"/>
    <x v="2"/>
    <s v="Analyst"/>
    <x v="0"/>
    <s v="2018-03-13"/>
    <x v="8"/>
    <s v="2018"/>
    <x v="2"/>
    <s v="Active"/>
    <n v="0"/>
    <n v="1"/>
    <n v="440304"/>
    <n v="4.0999999999999996"/>
    <s v="Manager A"/>
    <n v="76.3"/>
    <x v="1"/>
  </r>
  <r>
    <x v="404"/>
    <s v="Employee_405"/>
    <x v="1"/>
    <s v="Analyst"/>
    <x v="3"/>
    <s v="2023-02-12"/>
    <x v="6"/>
    <s v="2023"/>
    <x v="186"/>
    <s v="Exited"/>
    <n v="1"/>
    <n v="0"/>
    <n v="665470"/>
    <n v="2.6"/>
    <s v="Manager A"/>
    <n v="84"/>
    <x v="0"/>
  </r>
  <r>
    <x v="405"/>
    <s v="Employee_406"/>
    <x v="3"/>
    <s v="Senior Executive"/>
    <x v="1"/>
    <s v="2020-03-20"/>
    <x v="8"/>
    <s v="2020"/>
    <x v="187"/>
    <s v="Exited"/>
    <n v="1"/>
    <n v="0"/>
    <n v="728558"/>
    <n v="5"/>
    <s v="Manager C"/>
    <n v="87.4"/>
    <x v="1"/>
  </r>
  <r>
    <x v="406"/>
    <s v="Employee_407"/>
    <x v="3"/>
    <s v="Analyst"/>
    <x v="3"/>
    <s v="2024-10-01"/>
    <x v="7"/>
    <s v="2024"/>
    <x v="188"/>
    <s v="Exited"/>
    <n v="1"/>
    <n v="0"/>
    <n v="863051"/>
    <n v="4.9000000000000004"/>
    <s v="Manager B"/>
    <n v="75.3"/>
    <x v="1"/>
  </r>
  <r>
    <x v="407"/>
    <s v="Employee_408"/>
    <x v="4"/>
    <s v="Senior Executive"/>
    <x v="1"/>
    <s v="2019-08-05"/>
    <x v="4"/>
    <s v="2019"/>
    <x v="2"/>
    <s v="Active"/>
    <n v="0"/>
    <n v="1"/>
    <n v="395817"/>
    <n v="3.8"/>
    <s v="Manager A"/>
    <n v="77"/>
    <x v="0"/>
  </r>
  <r>
    <x v="408"/>
    <s v="Employee_409"/>
    <x v="1"/>
    <s v="Analyst"/>
    <x v="1"/>
    <s v="2018-02-11"/>
    <x v="6"/>
    <s v="2018"/>
    <x v="189"/>
    <s v="Exited"/>
    <n v="1"/>
    <n v="0"/>
    <n v="922938"/>
    <n v="5"/>
    <s v="Manager D"/>
    <n v="84.9"/>
    <x v="1"/>
  </r>
  <r>
    <x v="409"/>
    <s v="Employee_410"/>
    <x v="3"/>
    <s v="Executive"/>
    <x v="0"/>
    <s v="2021-11-21"/>
    <x v="11"/>
    <s v="2021"/>
    <x v="96"/>
    <s v="Exited"/>
    <n v="1"/>
    <n v="0"/>
    <n v="307406"/>
    <n v="2.2999999999999998"/>
    <s v="Manager C"/>
    <n v="77.8"/>
    <x v="0"/>
  </r>
  <r>
    <x v="410"/>
    <s v="Employee_411"/>
    <x v="2"/>
    <s v="Senior Executive"/>
    <x v="3"/>
    <s v="2024-05-07"/>
    <x v="9"/>
    <s v="2024"/>
    <x v="2"/>
    <s v="Active"/>
    <n v="0"/>
    <n v="1"/>
    <n v="685559"/>
    <n v="3.3"/>
    <s v="Manager A"/>
    <n v="86.6"/>
    <x v="0"/>
  </r>
  <r>
    <x v="411"/>
    <s v="Employee_412"/>
    <x v="2"/>
    <s v="Analyst"/>
    <x v="2"/>
    <s v="2023-04-05"/>
    <x v="0"/>
    <s v="2023"/>
    <x v="2"/>
    <s v="Active"/>
    <n v="0"/>
    <n v="1"/>
    <n v="201503"/>
    <n v="4.5999999999999996"/>
    <s v="Manager A"/>
    <n v="85.6"/>
    <x v="1"/>
  </r>
  <r>
    <x v="412"/>
    <s v="Employee_413"/>
    <x v="2"/>
    <s v="Executive"/>
    <x v="2"/>
    <s v="2022-09-01"/>
    <x v="1"/>
    <s v="2022"/>
    <x v="2"/>
    <s v="Active"/>
    <n v="0"/>
    <n v="1"/>
    <n v="424942"/>
    <n v="2.7"/>
    <s v="Manager D"/>
    <n v="99"/>
    <x v="0"/>
  </r>
  <r>
    <x v="413"/>
    <s v="Employee_414"/>
    <x v="0"/>
    <s v="Analyst"/>
    <x v="2"/>
    <s v="2024-10-27"/>
    <x v="7"/>
    <s v="2024"/>
    <x v="2"/>
    <s v="Active"/>
    <n v="0"/>
    <n v="1"/>
    <n v="1143503"/>
    <n v="4.5999999999999996"/>
    <s v="Manager B"/>
    <n v="83.6"/>
    <x v="1"/>
  </r>
  <r>
    <x v="414"/>
    <s v="Employee_415"/>
    <x v="1"/>
    <s v="Analyst"/>
    <x v="3"/>
    <s v="2018-09-15"/>
    <x v="1"/>
    <s v="2018"/>
    <x v="190"/>
    <s v="Exited"/>
    <n v="1"/>
    <n v="0"/>
    <n v="345780"/>
    <n v="4.7"/>
    <s v="Manager A"/>
    <n v="96.5"/>
    <x v="1"/>
  </r>
  <r>
    <x v="415"/>
    <s v="Employee_416"/>
    <x v="0"/>
    <s v="Executive"/>
    <x v="0"/>
    <s v="2020-07-10"/>
    <x v="2"/>
    <s v="2020"/>
    <x v="191"/>
    <s v="Exited"/>
    <n v="1"/>
    <n v="0"/>
    <n v="606197"/>
    <n v="4.5"/>
    <s v="Manager C"/>
    <n v="89.8"/>
    <x v="1"/>
  </r>
  <r>
    <x v="416"/>
    <s v="Employee_417"/>
    <x v="1"/>
    <s v="Manager"/>
    <x v="1"/>
    <s v="2018-01-09"/>
    <x v="10"/>
    <s v="2018"/>
    <x v="2"/>
    <s v="Active"/>
    <n v="0"/>
    <n v="1"/>
    <n v="303974"/>
    <n v="2.4"/>
    <s v="Manager C"/>
    <n v="98.8"/>
    <x v="0"/>
  </r>
  <r>
    <x v="417"/>
    <s v="Employee_418"/>
    <x v="1"/>
    <s v="Analyst"/>
    <x v="1"/>
    <s v="2022-04-29"/>
    <x v="0"/>
    <s v="2022"/>
    <x v="2"/>
    <s v="Active"/>
    <n v="0"/>
    <n v="1"/>
    <n v="938484"/>
    <n v="3.4"/>
    <s v="Manager C"/>
    <n v="79.900000000000006"/>
    <x v="0"/>
  </r>
  <r>
    <x v="418"/>
    <s v="Employee_419"/>
    <x v="0"/>
    <s v="Analyst"/>
    <x v="3"/>
    <s v="2023-09-10"/>
    <x v="1"/>
    <s v="2023"/>
    <x v="192"/>
    <s v="Exited"/>
    <n v="1"/>
    <n v="0"/>
    <n v="1063408"/>
    <n v="2.1"/>
    <s v="Manager C"/>
    <n v="90.9"/>
    <x v="0"/>
  </r>
  <r>
    <x v="419"/>
    <s v="Employee_420"/>
    <x v="4"/>
    <s v="Executive"/>
    <x v="2"/>
    <s v="2020-06-22"/>
    <x v="3"/>
    <s v="2020"/>
    <x v="193"/>
    <s v="Exited"/>
    <n v="1"/>
    <n v="0"/>
    <n v="1112896"/>
    <n v="4.8"/>
    <s v="Manager B"/>
    <n v="98.6"/>
    <x v="1"/>
  </r>
  <r>
    <x v="420"/>
    <s v="Employee_421"/>
    <x v="1"/>
    <s v="Analyst"/>
    <x v="0"/>
    <s v="2023-08-03"/>
    <x v="4"/>
    <s v="2023"/>
    <x v="194"/>
    <s v="Exited"/>
    <n v="1"/>
    <n v="0"/>
    <n v="720747"/>
    <n v="2.8"/>
    <s v="Manager B"/>
    <n v="83"/>
    <x v="0"/>
  </r>
  <r>
    <x v="421"/>
    <s v="Employee_422"/>
    <x v="4"/>
    <s v="Senior Executive"/>
    <x v="0"/>
    <s v="2023-04-02"/>
    <x v="0"/>
    <s v="2023"/>
    <x v="2"/>
    <s v="Active"/>
    <n v="0"/>
    <n v="1"/>
    <n v="542843"/>
    <n v="2.2999999999999998"/>
    <s v="Manager D"/>
    <n v="85.6"/>
    <x v="0"/>
  </r>
  <r>
    <x v="422"/>
    <s v="Employee_423"/>
    <x v="3"/>
    <s v="Analyst"/>
    <x v="1"/>
    <s v="2022-07-10"/>
    <x v="2"/>
    <s v="2022"/>
    <x v="195"/>
    <s v="Exited"/>
    <n v="1"/>
    <n v="0"/>
    <n v="952059"/>
    <n v="3.4"/>
    <s v="Manager D"/>
    <n v="97"/>
    <x v="0"/>
  </r>
  <r>
    <x v="423"/>
    <s v="Employee_424"/>
    <x v="3"/>
    <s v="Executive"/>
    <x v="0"/>
    <s v="2018-09-23"/>
    <x v="1"/>
    <s v="2018"/>
    <x v="196"/>
    <s v="Exited"/>
    <n v="1"/>
    <n v="0"/>
    <n v="1172777"/>
    <n v="3.7"/>
    <s v="Manager B"/>
    <n v="89.5"/>
    <x v="0"/>
  </r>
  <r>
    <x v="424"/>
    <s v="Employee_425"/>
    <x v="1"/>
    <s v="Manager"/>
    <x v="0"/>
    <s v="2018-04-01"/>
    <x v="0"/>
    <s v="2018"/>
    <x v="2"/>
    <s v="Active"/>
    <n v="0"/>
    <n v="1"/>
    <n v="1084199"/>
    <n v="2.9"/>
    <s v="Manager B"/>
    <n v="100"/>
    <x v="0"/>
  </r>
  <r>
    <x v="425"/>
    <s v="Employee_426"/>
    <x v="3"/>
    <s v="Analyst"/>
    <x v="0"/>
    <s v="2023-11-25"/>
    <x v="11"/>
    <s v="2023"/>
    <x v="197"/>
    <s v="Exited"/>
    <n v="1"/>
    <n v="0"/>
    <n v="784295"/>
    <n v="2.8"/>
    <s v="Manager D"/>
    <n v="94.6"/>
    <x v="0"/>
  </r>
  <r>
    <x v="426"/>
    <s v="Employee_427"/>
    <x v="4"/>
    <s v="Executive"/>
    <x v="0"/>
    <s v="2023-10-03"/>
    <x v="7"/>
    <s v="2023"/>
    <x v="2"/>
    <s v="Active"/>
    <n v="0"/>
    <n v="1"/>
    <n v="838638"/>
    <n v="3.2"/>
    <s v="Manager B"/>
    <n v="91.6"/>
    <x v="0"/>
  </r>
  <r>
    <x v="427"/>
    <s v="Employee_428"/>
    <x v="3"/>
    <s v="Executive"/>
    <x v="1"/>
    <s v="2020-10-11"/>
    <x v="7"/>
    <s v="2020"/>
    <x v="198"/>
    <s v="Exited"/>
    <n v="1"/>
    <n v="0"/>
    <n v="654320"/>
    <n v="3.2"/>
    <s v="Manager A"/>
    <n v="75.3"/>
    <x v="0"/>
  </r>
  <r>
    <x v="428"/>
    <s v="Employee_429"/>
    <x v="2"/>
    <s v="Executive"/>
    <x v="0"/>
    <s v="2018-06-04"/>
    <x v="3"/>
    <s v="2018"/>
    <x v="199"/>
    <s v="Exited"/>
    <n v="1"/>
    <n v="0"/>
    <n v="314672"/>
    <n v="4.7"/>
    <s v="Manager B"/>
    <n v="88.3"/>
    <x v="1"/>
  </r>
  <r>
    <x v="429"/>
    <s v="Employee_430"/>
    <x v="1"/>
    <s v="Senior Executive"/>
    <x v="0"/>
    <s v="2023-09-22"/>
    <x v="1"/>
    <s v="2023"/>
    <x v="198"/>
    <s v="Exited"/>
    <n v="1"/>
    <n v="0"/>
    <n v="967072"/>
    <n v="4.3"/>
    <s v="Manager C"/>
    <n v="88.3"/>
    <x v="1"/>
  </r>
  <r>
    <x v="430"/>
    <s v="Employee_431"/>
    <x v="2"/>
    <s v="Senior Executive"/>
    <x v="2"/>
    <s v="2021-10-03"/>
    <x v="7"/>
    <s v="2021"/>
    <x v="200"/>
    <s v="Exited"/>
    <n v="1"/>
    <n v="0"/>
    <n v="296044"/>
    <n v="3.1"/>
    <s v="Manager C"/>
    <n v="91"/>
    <x v="0"/>
  </r>
  <r>
    <x v="431"/>
    <s v="Employee_432"/>
    <x v="2"/>
    <s v="Senior Executive"/>
    <x v="1"/>
    <s v="2024-07-20"/>
    <x v="2"/>
    <s v="2024"/>
    <x v="201"/>
    <s v="Exited"/>
    <n v="1"/>
    <n v="0"/>
    <n v="377889"/>
    <n v="4.3"/>
    <s v="Manager C"/>
    <n v="76.7"/>
    <x v="1"/>
  </r>
  <r>
    <x v="432"/>
    <s v="Employee_433"/>
    <x v="2"/>
    <s v="Senior Executive"/>
    <x v="1"/>
    <s v="2020-01-02"/>
    <x v="10"/>
    <s v="2020"/>
    <x v="202"/>
    <s v="Exited"/>
    <n v="1"/>
    <n v="0"/>
    <n v="719802"/>
    <n v="3.4"/>
    <s v="Manager A"/>
    <n v="94.1"/>
    <x v="0"/>
  </r>
  <r>
    <x v="433"/>
    <s v="Employee_434"/>
    <x v="1"/>
    <s v="Senior Executive"/>
    <x v="2"/>
    <s v="2020-05-26"/>
    <x v="9"/>
    <s v="2020"/>
    <x v="38"/>
    <s v="Exited"/>
    <n v="1"/>
    <n v="0"/>
    <n v="237011"/>
    <n v="3.2"/>
    <s v="Manager D"/>
    <n v="88.6"/>
    <x v="0"/>
  </r>
  <r>
    <x v="434"/>
    <s v="Employee_435"/>
    <x v="1"/>
    <s v="Analyst"/>
    <x v="2"/>
    <s v="2019-02-04"/>
    <x v="6"/>
    <s v="2019"/>
    <x v="203"/>
    <s v="Exited"/>
    <n v="1"/>
    <n v="0"/>
    <n v="581047"/>
    <n v="5"/>
    <s v="Manager C"/>
    <n v="96.6"/>
    <x v="1"/>
  </r>
  <r>
    <x v="435"/>
    <s v="Employee_436"/>
    <x v="3"/>
    <s v="Executive"/>
    <x v="2"/>
    <s v="2020-03-14"/>
    <x v="8"/>
    <s v="2020"/>
    <x v="204"/>
    <s v="Exited"/>
    <n v="1"/>
    <n v="0"/>
    <n v="317111"/>
    <n v="4.9000000000000004"/>
    <s v="Manager A"/>
    <n v="79"/>
    <x v="1"/>
  </r>
  <r>
    <x v="436"/>
    <s v="Employee_437"/>
    <x v="3"/>
    <s v="Analyst"/>
    <x v="3"/>
    <s v="2023-05-20"/>
    <x v="9"/>
    <s v="2023"/>
    <x v="2"/>
    <s v="Active"/>
    <n v="0"/>
    <n v="1"/>
    <n v="449398"/>
    <n v="2.5"/>
    <s v="Manager D"/>
    <n v="75.900000000000006"/>
    <x v="0"/>
  </r>
  <r>
    <x v="437"/>
    <s v="Employee_438"/>
    <x v="0"/>
    <s v="Analyst"/>
    <x v="3"/>
    <s v="2021-06-10"/>
    <x v="3"/>
    <s v="2021"/>
    <x v="205"/>
    <s v="Exited"/>
    <n v="1"/>
    <n v="0"/>
    <n v="1172569"/>
    <n v="2.5"/>
    <s v="Manager C"/>
    <n v="88.2"/>
    <x v="0"/>
  </r>
  <r>
    <x v="438"/>
    <s v="Employee_439"/>
    <x v="0"/>
    <s v="Manager"/>
    <x v="1"/>
    <s v="2023-06-22"/>
    <x v="3"/>
    <s v="2023"/>
    <x v="206"/>
    <s v="Exited"/>
    <n v="1"/>
    <n v="0"/>
    <n v="531179"/>
    <n v="2.4"/>
    <s v="Manager B"/>
    <n v="78.900000000000006"/>
    <x v="0"/>
  </r>
  <r>
    <x v="439"/>
    <s v="Employee_440"/>
    <x v="0"/>
    <s v="Senior Executive"/>
    <x v="0"/>
    <s v="2018-07-18"/>
    <x v="2"/>
    <s v="2018"/>
    <x v="2"/>
    <s v="Active"/>
    <n v="0"/>
    <n v="1"/>
    <n v="691316"/>
    <n v="2.2000000000000002"/>
    <s v="Manager B"/>
    <n v="85.1"/>
    <x v="0"/>
  </r>
  <r>
    <x v="440"/>
    <s v="Employee_441"/>
    <x v="4"/>
    <s v="Manager"/>
    <x v="2"/>
    <s v="2022-09-09"/>
    <x v="1"/>
    <s v="2022"/>
    <x v="207"/>
    <s v="Exited"/>
    <n v="1"/>
    <n v="0"/>
    <n v="731916"/>
    <n v="2"/>
    <s v="Manager D"/>
    <n v="98.2"/>
    <x v="0"/>
  </r>
  <r>
    <x v="441"/>
    <s v="Employee_442"/>
    <x v="4"/>
    <s v="Analyst"/>
    <x v="1"/>
    <s v="2023-01-27"/>
    <x v="10"/>
    <s v="2023"/>
    <x v="208"/>
    <s v="Exited"/>
    <n v="1"/>
    <n v="0"/>
    <n v="956183"/>
    <n v="4.5"/>
    <s v="Manager B"/>
    <n v="86.2"/>
    <x v="1"/>
  </r>
  <r>
    <x v="442"/>
    <s v="Employee_443"/>
    <x v="1"/>
    <s v="Manager"/>
    <x v="1"/>
    <s v="2020-04-30"/>
    <x v="0"/>
    <s v="2020"/>
    <x v="209"/>
    <s v="Exited"/>
    <n v="1"/>
    <n v="0"/>
    <n v="1085694"/>
    <n v="3.6"/>
    <s v="Manager B"/>
    <n v="89.6"/>
    <x v="0"/>
  </r>
  <r>
    <x v="443"/>
    <s v="Employee_444"/>
    <x v="3"/>
    <s v="Executive"/>
    <x v="1"/>
    <s v="2022-05-29"/>
    <x v="9"/>
    <s v="2022"/>
    <x v="210"/>
    <s v="Exited"/>
    <n v="1"/>
    <n v="0"/>
    <n v="480049"/>
    <n v="3.8"/>
    <s v="Manager D"/>
    <n v="92.4"/>
    <x v="0"/>
  </r>
  <r>
    <x v="444"/>
    <s v="Employee_445"/>
    <x v="2"/>
    <s v="Analyst"/>
    <x v="3"/>
    <s v="2023-04-01"/>
    <x v="0"/>
    <s v="2023"/>
    <x v="211"/>
    <s v="Exited"/>
    <n v="1"/>
    <n v="0"/>
    <n v="1093440"/>
    <n v="3"/>
    <s v="Manager A"/>
    <n v="95.9"/>
    <x v="0"/>
  </r>
  <r>
    <x v="445"/>
    <s v="Employee_446"/>
    <x v="3"/>
    <s v="Analyst"/>
    <x v="3"/>
    <s v="2022-03-30"/>
    <x v="8"/>
    <s v="2022"/>
    <x v="212"/>
    <s v="Exited"/>
    <n v="1"/>
    <n v="0"/>
    <n v="295268"/>
    <n v="4.9000000000000004"/>
    <s v="Manager B"/>
    <n v="85.1"/>
    <x v="1"/>
  </r>
  <r>
    <x v="446"/>
    <s v="Employee_447"/>
    <x v="3"/>
    <s v="Manager"/>
    <x v="1"/>
    <s v="2024-07-20"/>
    <x v="2"/>
    <s v="2024"/>
    <x v="213"/>
    <s v="Exited"/>
    <n v="1"/>
    <n v="0"/>
    <n v="875639"/>
    <n v="3.2"/>
    <s v="Manager A"/>
    <n v="81.400000000000006"/>
    <x v="0"/>
  </r>
  <r>
    <x v="447"/>
    <s v="Employee_448"/>
    <x v="0"/>
    <s v="Analyst"/>
    <x v="1"/>
    <s v="2018-08-08"/>
    <x v="4"/>
    <s v="2018"/>
    <x v="2"/>
    <s v="Active"/>
    <n v="0"/>
    <n v="1"/>
    <n v="916350"/>
    <n v="4.4000000000000004"/>
    <s v="Manager C"/>
    <n v="94.7"/>
    <x v="1"/>
  </r>
  <r>
    <x v="448"/>
    <s v="Employee_449"/>
    <x v="2"/>
    <s v="Analyst"/>
    <x v="1"/>
    <s v="2023-10-31"/>
    <x v="7"/>
    <s v="2023"/>
    <x v="214"/>
    <s v="Exited"/>
    <n v="1"/>
    <n v="0"/>
    <n v="1115722"/>
    <n v="3.6"/>
    <s v="Manager B"/>
    <n v="90.4"/>
    <x v="0"/>
  </r>
  <r>
    <x v="449"/>
    <s v="Employee_450"/>
    <x v="1"/>
    <s v="Manager"/>
    <x v="0"/>
    <s v="2023-05-17"/>
    <x v="9"/>
    <s v="2023"/>
    <x v="2"/>
    <s v="Active"/>
    <n v="0"/>
    <n v="1"/>
    <n v="430934"/>
    <n v="2.5"/>
    <s v="Manager D"/>
    <n v="80.5"/>
    <x v="0"/>
  </r>
  <r>
    <x v="450"/>
    <s v="Employee_451"/>
    <x v="2"/>
    <s v="Analyst"/>
    <x v="3"/>
    <s v="2018-05-13"/>
    <x v="9"/>
    <s v="2018"/>
    <x v="215"/>
    <s v="Exited"/>
    <n v="1"/>
    <n v="0"/>
    <n v="846482"/>
    <n v="2.8"/>
    <s v="Manager A"/>
    <n v="80.3"/>
    <x v="0"/>
  </r>
  <r>
    <x v="451"/>
    <s v="Employee_452"/>
    <x v="2"/>
    <s v="Analyst"/>
    <x v="1"/>
    <s v="2019-04-10"/>
    <x v="0"/>
    <s v="2019"/>
    <x v="216"/>
    <s v="Exited"/>
    <n v="1"/>
    <n v="0"/>
    <n v="244330"/>
    <n v="2.7"/>
    <s v="Manager A"/>
    <n v="76.2"/>
    <x v="0"/>
  </r>
  <r>
    <x v="452"/>
    <s v="Employee_453"/>
    <x v="0"/>
    <s v="Executive"/>
    <x v="0"/>
    <s v="2019-07-19"/>
    <x v="2"/>
    <s v="2019"/>
    <x v="2"/>
    <s v="Active"/>
    <n v="0"/>
    <n v="1"/>
    <n v="1130982"/>
    <n v="4.2"/>
    <s v="Manager C"/>
    <n v="94.6"/>
    <x v="1"/>
  </r>
  <r>
    <x v="453"/>
    <s v="Employee_454"/>
    <x v="3"/>
    <s v="Executive"/>
    <x v="1"/>
    <s v="2020-05-31"/>
    <x v="9"/>
    <s v="2020"/>
    <x v="217"/>
    <s v="Exited"/>
    <n v="1"/>
    <n v="0"/>
    <n v="837338"/>
    <n v="4.4000000000000004"/>
    <s v="Manager A"/>
    <n v="78.900000000000006"/>
    <x v="1"/>
  </r>
  <r>
    <x v="454"/>
    <s v="Employee_455"/>
    <x v="1"/>
    <s v="Analyst"/>
    <x v="1"/>
    <s v="2022-04-19"/>
    <x v="0"/>
    <s v="2022"/>
    <x v="218"/>
    <s v="Exited"/>
    <n v="1"/>
    <n v="0"/>
    <n v="1151138"/>
    <n v="3.7"/>
    <s v="Manager D"/>
    <n v="97.7"/>
    <x v="0"/>
  </r>
  <r>
    <x v="455"/>
    <s v="Employee_456"/>
    <x v="3"/>
    <s v="Senior Executive"/>
    <x v="2"/>
    <s v="2022-03-27"/>
    <x v="8"/>
    <s v="2022"/>
    <x v="61"/>
    <s v="Exited"/>
    <n v="1"/>
    <n v="0"/>
    <n v="406565"/>
    <n v="2.6"/>
    <s v="Manager A"/>
    <n v="90.7"/>
    <x v="0"/>
  </r>
  <r>
    <x v="456"/>
    <s v="Employee_457"/>
    <x v="3"/>
    <s v="Executive"/>
    <x v="1"/>
    <s v="2024-12-08"/>
    <x v="5"/>
    <s v="2024"/>
    <x v="2"/>
    <s v="Active"/>
    <n v="0"/>
    <n v="1"/>
    <n v="747179"/>
    <n v="3.2"/>
    <s v="Manager A"/>
    <n v="75.400000000000006"/>
    <x v="0"/>
  </r>
  <r>
    <x v="457"/>
    <s v="Employee_458"/>
    <x v="0"/>
    <s v="Senior Executive"/>
    <x v="2"/>
    <s v="2020-07-28"/>
    <x v="2"/>
    <s v="2020"/>
    <x v="219"/>
    <s v="Exited"/>
    <n v="1"/>
    <n v="0"/>
    <n v="735224"/>
    <n v="3.5"/>
    <s v="Manager B"/>
    <n v="78.7"/>
    <x v="0"/>
  </r>
  <r>
    <x v="458"/>
    <s v="Employee_459"/>
    <x v="4"/>
    <s v="Manager"/>
    <x v="2"/>
    <s v="2021-06-05"/>
    <x v="3"/>
    <s v="2021"/>
    <x v="220"/>
    <s v="Exited"/>
    <n v="1"/>
    <n v="0"/>
    <n v="465072"/>
    <n v="4.3"/>
    <s v="Manager D"/>
    <n v="81"/>
    <x v="1"/>
  </r>
  <r>
    <x v="459"/>
    <s v="Employee_460"/>
    <x v="2"/>
    <s v="Senior Executive"/>
    <x v="2"/>
    <s v="2018-03-31"/>
    <x v="8"/>
    <s v="2018"/>
    <x v="2"/>
    <s v="Active"/>
    <n v="0"/>
    <n v="1"/>
    <n v="336498"/>
    <n v="4.0999999999999996"/>
    <s v="Manager A"/>
    <n v="100"/>
    <x v="1"/>
  </r>
  <r>
    <x v="460"/>
    <s v="Employee_461"/>
    <x v="2"/>
    <s v="Manager"/>
    <x v="2"/>
    <s v="2020-08-22"/>
    <x v="4"/>
    <s v="2020"/>
    <x v="2"/>
    <s v="Active"/>
    <n v="0"/>
    <n v="1"/>
    <n v="826281"/>
    <n v="4.3"/>
    <s v="Manager A"/>
    <n v="91.2"/>
    <x v="1"/>
  </r>
  <r>
    <x v="461"/>
    <s v="Employee_462"/>
    <x v="0"/>
    <s v="Manager"/>
    <x v="0"/>
    <s v="2022-12-27"/>
    <x v="5"/>
    <s v="2022"/>
    <x v="221"/>
    <s v="Exited"/>
    <n v="1"/>
    <n v="0"/>
    <n v="692556"/>
    <n v="4.5999999999999996"/>
    <s v="Manager A"/>
    <n v="79.5"/>
    <x v="1"/>
  </r>
  <r>
    <x v="462"/>
    <s v="Employee_463"/>
    <x v="4"/>
    <s v="Analyst"/>
    <x v="0"/>
    <s v="2020-07-21"/>
    <x v="2"/>
    <s v="2020"/>
    <x v="2"/>
    <s v="Active"/>
    <n v="0"/>
    <n v="1"/>
    <n v="509423"/>
    <n v="2.2000000000000002"/>
    <s v="Manager C"/>
    <n v="89.6"/>
    <x v="0"/>
  </r>
  <r>
    <x v="463"/>
    <s v="Employee_464"/>
    <x v="4"/>
    <s v="Manager"/>
    <x v="0"/>
    <s v="2020-02-08"/>
    <x v="6"/>
    <s v="2020"/>
    <x v="222"/>
    <s v="Exited"/>
    <n v="1"/>
    <n v="0"/>
    <n v="295572"/>
    <n v="4.4000000000000004"/>
    <s v="Manager D"/>
    <n v="81"/>
    <x v="1"/>
  </r>
  <r>
    <x v="464"/>
    <s v="Employee_465"/>
    <x v="2"/>
    <s v="Manager"/>
    <x v="0"/>
    <s v="2024-06-20"/>
    <x v="3"/>
    <s v="2024"/>
    <x v="223"/>
    <s v="Exited"/>
    <n v="1"/>
    <n v="0"/>
    <n v="1179131"/>
    <n v="4.2"/>
    <s v="Manager C"/>
    <n v="88.4"/>
    <x v="1"/>
  </r>
  <r>
    <x v="465"/>
    <s v="Employee_466"/>
    <x v="3"/>
    <s v="Senior Executive"/>
    <x v="0"/>
    <s v="2020-12-04"/>
    <x v="5"/>
    <s v="2020"/>
    <x v="224"/>
    <s v="Exited"/>
    <n v="1"/>
    <n v="0"/>
    <n v="429648"/>
    <n v="3"/>
    <s v="Manager A"/>
    <n v="95.1"/>
    <x v="0"/>
  </r>
  <r>
    <x v="466"/>
    <s v="Employee_467"/>
    <x v="3"/>
    <s v="Analyst"/>
    <x v="0"/>
    <s v="2022-03-21"/>
    <x v="8"/>
    <s v="2022"/>
    <x v="2"/>
    <s v="Active"/>
    <n v="0"/>
    <n v="1"/>
    <n v="533598"/>
    <n v="4.3"/>
    <s v="Manager D"/>
    <n v="81.7"/>
    <x v="1"/>
  </r>
  <r>
    <x v="467"/>
    <s v="Employee_468"/>
    <x v="4"/>
    <s v="Analyst"/>
    <x v="2"/>
    <s v="2021-09-02"/>
    <x v="1"/>
    <s v="2021"/>
    <x v="2"/>
    <s v="Active"/>
    <n v="0"/>
    <n v="1"/>
    <n v="1132525"/>
    <n v="2.7"/>
    <s v="Manager A"/>
    <n v="76.8"/>
    <x v="0"/>
  </r>
  <r>
    <x v="468"/>
    <s v="Employee_469"/>
    <x v="4"/>
    <s v="Senior Executive"/>
    <x v="0"/>
    <s v="2019-07-15"/>
    <x v="2"/>
    <s v="2019"/>
    <x v="2"/>
    <s v="Active"/>
    <n v="0"/>
    <n v="1"/>
    <n v="562541"/>
    <n v="3.4"/>
    <s v="Manager B"/>
    <n v="84.5"/>
    <x v="0"/>
  </r>
  <r>
    <x v="469"/>
    <s v="Employee_470"/>
    <x v="0"/>
    <s v="Senior Executive"/>
    <x v="2"/>
    <s v="2024-05-16"/>
    <x v="9"/>
    <s v="2024"/>
    <x v="2"/>
    <s v="Active"/>
    <n v="0"/>
    <n v="1"/>
    <n v="773807"/>
    <n v="2.5"/>
    <s v="Manager B"/>
    <n v="89.2"/>
    <x v="0"/>
  </r>
  <r>
    <x v="470"/>
    <s v="Employee_471"/>
    <x v="1"/>
    <s v="Executive"/>
    <x v="2"/>
    <s v="2022-04-03"/>
    <x v="0"/>
    <s v="2022"/>
    <x v="225"/>
    <s v="Exited"/>
    <n v="1"/>
    <n v="0"/>
    <n v="1082191"/>
    <n v="4.5"/>
    <s v="Manager C"/>
    <n v="95.9"/>
    <x v="1"/>
  </r>
  <r>
    <x v="471"/>
    <s v="Employee_472"/>
    <x v="2"/>
    <s v="Manager"/>
    <x v="1"/>
    <s v="2018-02-11"/>
    <x v="6"/>
    <s v="2018"/>
    <x v="226"/>
    <s v="Exited"/>
    <n v="1"/>
    <n v="0"/>
    <n v="398061"/>
    <n v="3.9"/>
    <s v="Manager D"/>
    <n v="77.2"/>
    <x v="0"/>
  </r>
  <r>
    <x v="472"/>
    <s v="Employee_473"/>
    <x v="3"/>
    <s v="Executive"/>
    <x v="0"/>
    <s v="2021-05-04"/>
    <x v="9"/>
    <s v="2021"/>
    <x v="227"/>
    <s v="Exited"/>
    <n v="1"/>
    <n v="0"/>
    <n v="1037195"/>
    <n v="4.2"/>
    <s v="Manager C"/>
    <n v="75.3"/>
    <x v="1"/>
  </r>
  <r>
    <x v="473"/>
    <s v="Employee_474"/>
    <x v="4"/>
    <s v="Manager"/>
    <x v="3"/>
    <s v="2023-11-18"/>
    <x v="11"/>
    <s v="2023"/>
    <x v="2"/>
    <s v="Active"/>
    <n v="0"/>
    <n v="1"/>
    <n v="554891"/>
    <n v="3.8"/>
    <s v="Manager A"/>
    <n v="88.1"/>
    <x v="0"/>
  </r>
  <r>
    <x v="474"/>
    <s v="Employee_475"/>
    <x v="3"/>
    <s v="Manager"/>
    <x v="0"/>
    <s v="2024-02-24"/>
    <x v="6"/>
    <s v="2024"/>
    <x v="228"/>
    <s v="Exited"/>
    <n v="1"/>
    <n v="0"/>
    <n v="519323"/>
    <n v="2.2000000000000002"/>
    <s v="Manager B"/>
    <n v="84.9"/>
    <x v="0"/>
  </r>
  <r>
    <x v="475"/>
    <s v="Employee_476"/>
    <x v="1"/>
    <s v="Executive"/>
    <x v="1"/>
    <s v="2023-02-14"/>
    <x v="6"/>
    <s v="2023"/>
    <x v="2"/>
    <s v="Active"/>
    <n v="0"/>
    <n v="1"/>
    <n v="688351"/>
    <n v="3.6"/>
    <s v="Manager D"/>
    <n v="97.4"/>
    <x v="0"/>
  </r>
  <r>
    <x v="476"/>
    <s v="Employee_477"/>
    <x v="4"/>
    <s v="Executive"/>
    <x v="2"/>
    <s v="2019-03-29"/>
    <x v="8"/>
    <s v="2019"/>
    <x v="229"/>
    <s v="Exited"/>
    <n v="1"/>
    <n v="0"/>
    <n v="964046"/>
    <n v="4.4000000000000004"/>
    <s v="Manager D"/>
    <n v="82.8"/>
    <x v="1"/>
  </r>
  <r>
    <x v="477"/>
    <s v="Employee_478"/>
    <x v="3"/>
    <s v="Senior Executive"/>
    <x v="0"/>
    <s v="2018-02-13"/>
    <x v="6"/>
    <s v="2018"/>
    <x v="2"/>
    <s v="Active"/>
    <n v="0"/>
    <n v="1"/>
    <n v="687036"/>
    <n v="3.6"/>
    <s v="Manager D"/>
    <n v="99.8"/>
    <x v="0"/>
  </r>
  <r>
    <x v="478"/>
    <s v="Employee_479"/>
    <x v="3"/>
    <s v="Analyst"/>
    <x v="3"/>
    <s v="2021-03-15"/>
    <x v="8"/>
    <s v="2021"/>
    <x v="230"/>
    <s v="Exited"/>
    <n v="1"/>
    <n v="0"/>
    <n v="251919"/>
    <n v="2.5"/>
    <s v="Manager D"/>
    <n v="85.7"/>
    <x v="0"/>
  </r>
  <r>
    <x v="479"/>
    <s v="Employee_480"/>
    <x v="0"/>
    <s v="Manager"/>
    <x v="1"/>
    <s v="2019-02-17"/>
    <x v="6"/>
    <s v="2019"/>
    <x v="2"/>
    <s v="Active"/>
    <n v="0"/>
    <n v="1"/>
    <n v="805319"/>
    <n v="2.1"/>
    <s v="Manager B"/>
    <n v="86.3"/>
    <x v="0"/>
  </r>
  <r>
    <x v="480"/>
    <s v="Employee_481"/>
    <x v="2"/>
    <s v="Analyst"/>
    <x v="0"/>
    <s v="2018-04-03"/>
    <x v="0"/>
    <s v="2018"/>
    <x v="231"/>
    <s v="Exited"/>
    <n v="1"/>
    <n v="0"/>
    <n v="467638"/>
    <n v="2.1"/>
    <s v="Manager B"/>
    <n v="88.2"/>
    <x v="0"/>
  </r>
  <r>
    <x v="481"/>
    <s v="Employee_482"/>
    <x v="3"/>
    <s v="Executive"/>
    <x v="1"/>
    <s v="2024-04-05"/>
    <x v="0"/>
    <s v="2024"/>
    <x v="2"/>
    <s v="Active"/>
    <n v="0"/>
    <n v="1"/>
    <n v="1076188"/>
    <n v="4.5"/>
    <s v="Manager A"/>
    <n v="75.400000000000006"/>
    <x v="1"/>
  </r>
  <r>
    <x v="482"/>
    <s v="Employee_483"/>
    <x v="3"/>
    <s v="Executive"/>
    <x v="1"/>
    <s v="2020-11-29"/>
    <x v="11"/>
    <s v="2020"/>
    <x v="2"/>
    <s v="Active"/>
    <n v="0"/>
    <n v="1"/>
    <n v="608981"/>
    <n v="2.7"/>
    <s v="Manager B"/>
    <n v="76.099999999999994"/>
    <x v="0"/>
  </r>
  <r>
    <x v="483"/>
    <s v="Employee_484"/>
    <x v="0"/>
    <s v="Manager"/>
    <x v="0"/>
    <s v="2023-02-05"/>
    <x v="6"/>
    <s v="2023"/>
    <x v="2"/>
    <s v="Active"/>
    <n v="0"/>
    <n v="1"/>
    <n v="642005"/>
    <n v="3.8"/>
    <s v="Manager D"/>
    <n v="89.5"/>
    <x v="0"/>
  </r>
  <r>
    <x v="484"/>
    <s v="Employee_485"/>
    <x v="1"/>
    <s v="Analyst"/>
    <x v="3"/>
    <s v="2021-08-06"/>
    <x v="4"/>
    <s v="2021"/>
    <x v="2"/>
    <s v="Active"/>
    <n v="0"/>
    <n v="1"/>
    <n v="377037"/>
    <n v="2"/>
    <s v="Manager C"/>
    <n v="86.7"/>
    <x v="0"/>
  </r>
  <r>
    <x v="485"/>
    <s v="Employee_486"/>
    <x v="1"/>
    <s v="Manager"/>
    <x v="2"/>
    <s v="2024-01-11"/>
    <x v="10"/>
    <s v="2024"/>
    <x v="2"/>
    <s v="Active"/>
    <n v="0"/>
    <n v="1"/>
    <n v="730681"/>
    <n v="3.6"/>
    <s v="Manager B"/>
    <n v="90.7"/>
    <x v="0"/>
  </r>
  <r>
    <x v="486"/>
    <s v="Employee_487"/>
    <x v="0"/>
    <s v="Analyst"/>
    <x v="0"/>
    <s v="2024-03-31"/>
    <x v="8"/>
    <s v="2024"/>
    <x v="2"/>
    <s v="Active"/>
    <n v="0"/>
    <n v="1"/>
    <n v="1029955"/>
    <n v="3.6"/>
    <s v="Manager A"/>
    <n v="90.2"/>
    <x v="0"/>
  </r>
  <r>
    <x v="487"/>
    <s v="Employee_488"/>
    <x v="2"/>
    <s v="Executive"/>
    <x v="0"/>
    <s v="2021-05-17"/>
    <x v="9"/>
    <s v="2021"/>
    <x v="136"/>
    <s v="Exited"/>
    <n v="1"/>
    <n v="0"/>
    <n v="813662"/>
    <n v="2"/>
    <s v="Manager B"/>
    <n v="85.8"/>
    <x v="0"/>
  </r>
  <r>
    <x v="488"/>
    <s v="Employee_489"/>
    <x v="0"/>
    <s v="Manager"/>
    <x v="3"/>
    <s v="2022-05-09"/>
    <x v="9"/>
    <s v="2022"/>
    <x v="232"/>
    <s v="Exited"/>
    <n v="1"/>
    <n v="0"/>
    <n v="1192774"/>
    <n v="2.8"/>
    <s v="Manager B"/>
    <n v="94.9"/>
    <x v="0"/>
  </r>
  <r>
    <x v="489"/>
    <s v="Employee_490"/>
    <x v="4"/>
    <s v="Executive"/>
    <x v="0"/>
    <s v="2024-05-03"/>
    <x v="9"/>
    <s v="2024"/>
    <x v="233"/>
    <s v="Exited"/>
    <n v="1"/>
    <n v="0"/>
    <n v="477634"/>
    <n v="3"/>
    <s v="Manager D"/>
    <n v="87.5"/>
    <x v="0"/>
  </r>
  <r>
    <x v="490"/>
    <s v="Employee_491"/>
    <x v="0"/>
    <s v="Analyst"/>
    <x v="2"/>
    <s v="2020-05-07"/>
    <x v="9"/>
    <s v="2020"/>
    <x v="2"/>
    <s v="Active"/>
    <n v="0"/>
    <n v="1"/>
    <n v="998029"/>
    <n v="4.9000000000000004"/>
    <s v="Manager B"/>
    <n v="83.9"/>
    <x v="1"/>
  </r>
  <r>
    <x v="491"/>
    <s v="Employee_492"/>
    <x v="0"/>
    <s v="Executive"/>
    <x v="1"/>
    <s v="2018-04-10"/>
    <x v="0"/>
    <s v="2018"/>
    <x v="2"/>
    <s v="Active"/>
    <n v="0"/>
    <n v="1"/>
    <n v="311326"/>
    <n v="4.7"/>
    <s v="Manager C"/>
    <n v="80.3"/>
    <x v="1"/>
  </r>
  <r>
    <x v="492"/>
    <s v="Employee_493"/>
    <x v="3"/>
    <s v="Senior Executive"/>
    <x v="1"/>
    <s v="2018-06-23"/>
    <x v="3"/>
    <s v="2018"/>
    <x v="234"/>
    <s v="Exited"/>
    <n v="1"/>
    <n v="0"/>
    <n v="699787"/>
    <n v="4.0999999999999996"/>
    <s v="Manager C"/>
    <n v="76.900000000000006"/>
    <x v="1"/>
  </r>
  <r>
    <x v="493"/>
    <s v="Employee_494"/>
    <x v="3"/>
    <s v="Manager"/>
    <x v="0"/>
    <s v="2023-03-25"/>
    <x v="8"/>
    <s v="2023"/>
    <x v="2"/>
    <s v="Active"/>
    <n v="0"/>
    <n v="1"/>
    <n v="886827"/>
    <n v="3.7"/>
    <s v="Manager D"/>
    <n v="77.7"/>
    <x v="0"/>
  </r>
  <r>
    <x v="494"/>
    <s v="Employee_495"/>
    <x v="0"/>
    <s v="Manager"/>
    <x v="3"/>
    <s v="2018-11-23"/>
    <x v="11"/>
    <s v="2018"/>
    <x v="2"/>
    <s v="Active"/>
    <n v="0"/>
    <n v="1"/>
    <n v="888772"/>
    <n v="4.4000000000000004"/>
    <s v="Manager D"/>
    <n v="90.5"/>
    <x v="1"/>
  </r>
  <r>
    <x v="495"/>
    <s v="Employee_496"/>
    <x v="2"/>
    <s v="Executive"/>
    <x v="3"/>
    <s v="2018-06-03"/>
    <x v="3"/>
    <s v="2018"/>
    <x v="235"/>
    <s v="Exited"/>
    <n v="1"/>
    <n v="0"/>
    <n v="820001"/>
    <n v="2.9"/>
    <s v="Manager A"/>
    <n v="82.3"/>
    <x v="0"/>
  </r>
  <r>
    <x v="496"/>
    <s v="Employee_497"/>
    <x v="2"/>
    <s v="Senior Executive"/>
    <x v="0"/>
    <s v="2022-08-23"/>
    <x v="4"/>
    <s v="2022"/>
    <x v="236"/>
    <s v="Exited"/>
    <n v="1"/>
    <n v="0"/>
    <n v="849376"/>
    <n v="4"/>
    <s v="Manager A"/>
    <n v="93.8"/>
    <x v="0"/>
  </r>
  <r>
    <x v="497"/>
    <s v="Employee_498"/>
    <x v="3"/>
    <s v="Manager"/>
    <x v="1"/>
    <s v="2020-07-07"/>
    <x v="2"/>
    <s v="2020"/>
    <x v="237"/>
    <s v="Exited"/>
    <n v="1"/>
    <n v="0"/>
    <n v="752899"/>
    <n v="3.6"/>
    <s v="Manager B"/>
    <n v="93.9"/>
    <x v="0"/>
  </r>
  <r>
    <x v="498"/>
    <s v="Employee_499"/>
    <x v="0"/>
    <s v="Executive"/>
    <x v="2"/>
    <s v="2021-01-23"/>
    <x v="10"/>
    <s v="2021"/>
    <x v="238"/>
    <s v="Exited"/>
    <n v="1"/>
    <n v="0"/>
    <n v="373111"/>
    <n v="2.2999999999999998"/>
    <s v="Manager C"/>
    <n v="94.5"/>
    <x v="0"/>
  </r>
  <r>
    <x v="499"/>
    <s v="Employee_500"/>
    <x v="3"/>
    <s v="Senior Executive"/>
    <x v="2"/>
    <s v="2018-01-23"/>
    <x v="10"/>
    <s v="2018"/>
    <x v="239"/>
    <s v="Exited"/>
    <n v="1"/>
    <n v="0"/>
    <n v="703608"/>
    <n v="2.7"/>
    <s v="Manager D"/>
    <n v="83.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C094BB-6040-4F63-B9DB-B06350A0CE6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8:G72" firstHeaderRow="1" firstDataRow="2" firstDataCol="1"/>
  <pivotFields count="21">
    <pivotField showAll="0"/>
    <pivotField showAll="0"/>
    <pivotField axis="axisCol"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defaultSubtotal="0"/>
    <pivotField showAll="0"/>
    <pivotField showAll="0"/>
    <pivotField showAll="0"/>
    <pivotField showAll="0"/>
    <pivotField showAll="0"/>
    <pivotField showAll="0"/>
    <pivotField axis="axisRow" dataField="1"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16"/>
  </rowFields>
  <rowItems count="3">
    <i>
      <x/>
    </i>
    <i>
      <x v="1"/>
    </i>
    <i t="grand">
      <x/>
    </i>
  </rowItems>
  <colFields count="1">
    <field x="2"/>
  </colFields>
  <colItems count="6">
    <i>
      <x/>
    </i>
    <i>
      <x v="1"/>
    </i>
    <i>
      <x v="2"/>
    </i>
    <i>
      <x v="3"/>
    </i>
    <i>
      <x v="4"/>
    </i>
    <i t="grand">
      <x/>
    </i>
  </colItems>
  <dataFields count="1">
    <dataField name="Count of Performance Distribution"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4CD183-4006-4F01-B742-96E067B09C6C}"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B83" firstHeaderRow="1" firstDataRow="1" firstDataCol="1"/>
  <pivotFields count="21">
    <pivotField showAll="0"/>
    <pivotField showAll="0"/>
    <pivotField axis="axisRow" showAll="0">
      <items count="6">
        <item x="4"/>
        <item x="3"/>
        <item x="1"/>
        <item x="0"/>
        <item x="2"/>
        <item t="default"/>
      </items>
    </pivotField>
    <pivotField showAll="0"/>
    <pivotField showAll="0"/>
    <pivotField showAll="0"/>
    <pivotField showAll="0"/>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Salary"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46268B-F446-4B74-930A-79232C91D4F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4:A75" firstHeaderRow="1" firstDataRow="1" firstDataCol="0"/>
  <pivotFields count="21">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8C96AC-FBF8-499A-A692-762FD55DBD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1">
    <pivotField showAll="0"/>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Sum of Attration Flag"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095B2-7947-4E7B-8B10-3E25F07DDB36}"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2:B65" firstHeaderRow="1"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axis="axisRow"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16"/>
  </rowFields>
  <rowItems count="3">
    <i>
      <x/>
    </i>
    <i>
      <x v="1"/>
    </i>
    <i t="grand">
      <x/>
    </i>
  </rowItems>
  <colItems count="1">
    <i/>
  </colItems>
  <dataFields count="1">
    <dataField name="Sum of Attration Flag" fld="10"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6" count="1" selected="0">
            <x v="0"/>
          </reference>
        </references>
      </pivotArea>
    </chartFormat>
    <chartFormat chart="5" format="8">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BC947E-0A98-4E55-BF9A-A760FBD3D9D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9:J35" firstHeaderRow="1" firstDataRow="1" firstDataCol="1"/>
  <pivotFields count="21">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Attration Flag" fld="10" subtotal="average" baseField="2" baseItem="0" numFmtId="10"/>
  </dataFields>
  <formats count="2">
    <format dxfId="7">
      <pivotArea collapsedLevelsAreSubtotals="1" fieldPosition="0">
        <references count="2">
          <reference field="4294967294" count="1" selected="0">
            <x v="0"/>
          </reference>
          <reference field="2" count="1">
            <x v="0"/>
          </reference>
        </references>
      </pivotArea>
    </format>
    <format dxfId="6">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AE0CE4-7041-4A0C-82BA-2C54B248D008}"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B21" firstHeaderRow="1" firstDataRow="1" firstDataCol="1"/>
  <pivotFields count="21">
    <pivotField showAll="0"/>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s>
  <rowFields count="1">
    <field x="2"/>
  </rowFields>
  <rowItems count="6">
    <i>
      <x/>
    </i>
    <i>
      <x v="1"/>
    </i>
    <i>
      <x v="2"/>
    </i>
    <i>
      <x v="3"/>
    </i>
    <i>
      <x v="4"/>
    </i>
    <i t="grand">
      <x/>
    </i>
  </rowItems>
  <colItems count="1">
    <i/>
  </colItems>
  <dataFields count="1">
    <dataField name="Currently Working" fld="11" baseField="2"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7CF250-56D3-4F5B-985C-0EC633749B8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6:B59" firstHeaderRow="1"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showAll="0"/>
    <pivotField showAll="0"/>
    <pivotField showAll="0"/>
    <pivotField showAll="0"/>
    <pivotField showAll="0"/>
    <pivotField showAll="0"/>
    <pivotField axis="axisRow" dataField="1" showAll="0">
      <items count="3">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16"/>
  </rowFields>
  <rowItems count="3">
    <i>
      <x/>
    </i>
    <i>
      <x v="1"/>
    </i>
    <i t="grand">
      <x/>
    </i>
  </rowItems>
  <colItems count="1">
    <i/>
  </colItems>
  <dataFields count="1">
    <dataField name="Count of Performance Distribution" fld="16" subtotal="count" baseField="0" baseItem="0"/>
  </dataFields>
  <chartFormats count="3">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6" count="1" selected="0">
            <x v="0"/>
          </reference>
        </references>
      </pivotArea>
    </chartFormat>
    <chartFormat chart="3" format="15">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3D14C1-5000-47CB-82AC-B04A0E1F88A8}"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F35:F41" firstHeaderRow="1" firstDataRow="1" firstDataCol="1"/>
  <pivotFields count="4">
    <pivotField axis="axisRow" showAll="0">
      <items count="6">
        <item x="0"/>
        <item x="1"/>
        <item x="2"/>
        <item x="3"/>
        <item x="4"/>
        <item t="default"/>
      </items>
    </pivotField>
    <pivotField showAll="0"/>
    <pivotField showAll="0"/>
    <pivotField numFmtId="10" showAll="0"/>
  </pivotFields>
  <rowFields count="1">
    <field x="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E5B6995-84DE-4304-A0C0-C7194A35551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C53" firstHeaderRow="0"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axis="axisRow"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6"/>
  </rowFields>
  <rowItems count="13">
    <i>
      <x/>
    </i>
    <i>
      <x v="1"/>
    </i>
    <i>
      <x v="2"/>
    </i>
    <i>
      <x v="3"/>
    </i>
    <i>
      <x v="4"/>
    </i>
    <i>
      <x v="5"/>
    </i>
    <i>
      <x v="6"/>
    </i>
    <i>
      <x v="7"/>
    </i>
    <i>
      <x v="8"/>
    </i>
    <i>
      <x v="9"/>
    </i>
    <i>
      <x v="10"/>
    </i>
    <i>
      <x v="11"/>
    </i>
    <i t="grand">
      <x/>
    </i>
  </rowItems>
  <colFields count="1">
    <field x="-2"/>
  </colFields>
  <colItems count="2">
    <i>
      <x/>
    </i>
    <i i="1">
      <x v="1"/>
    </i>
  </colItems>
  <dataFields count="2">
    <dataField name="Joined" fld="11" baseField="6" baseItem="0"/>
    <dataField name="Resigned" fld="10" baseField="6"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D1657A-BBB0-4FC1-B730-713529E6BABF}"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F13:G19" firstHeaderRow="1" firstDataRow="1" firstDataCol="1"/>
  <pivotFields count="21">
    <pivotField showAll="0"/>
    <pivotField showAll="0"/>
    <pivotField axis="axisRow" showAll="0">
      <items count="6">
        <item x="4"/>
        <item x="3"/>
        <item x="1"/>
        <item x="0"/>
        <item x="2"/>
        <item t="default"/>
      </items>
    </pivotField>
    <pivotField showAll="0"/>
    <pivotField showAll="0">
      <items count="5">
        <item x="1"/>
        <item x="2"/>
        <item x="3"/>
        <item x="0"/>
        <item t="default"/>
      </items>
    </pivotField>
    <pivotField showAll="0"/>
    <pivotField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defaultSubtota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2"/>
  </rowFields>
  <rowItems count="6">
    <i>
      <x/>
    </i>
    <i>
      <x v="1"/>
    </i>
    <i>
      <x v="2"/>
    </i>
    <i>
      <x v="3"/>
    </i>
    <i>
      <x v="4"/>
    </i>
    <i t="grand">
      <x/>
    </i>
  </rowItems>
  <colItems count="1">
    <i/>
  </colItems>
  <dataFields count="1">
    <dataField name="Average of Attendance_%" fld="15" subtotal="average" baseField="2" baseItem="3" numFmtId="2"/>
  </dataFields>
  <chartFormats count="6">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2" count="1" selected="0">
            <x v="0"/>
          </reference>
        </references>
      </pivotArea>
    </chartFormat>
    <chartFormat chart="21" format="14">
      <pivotArea type="data" outline="0" fieldPosition="0">
        <references count="2">
          <reference field="4294967294" count="1" selected="0">
            <x v="0"/>
          </reference>
          <reference field="2" count="1" selected="0">
            <x v="1"/>
          </reference>
        </references>
      </pivotArea>
    </chartFormat>
    <chartFormat chart="21" format="15">
      <pivotArea type="data" outline="0" fieldPosition="0">
        <references count="2">
          <reference field="4294967294" count="1" selected="0">
            <x v="0"/>
          </reference>
          <reference field="2" count="1" selected="0">
            <x v="2"/>
          </reference>
        </references>
      </pivotArea>
    </chartFormat>
    <chartFormat chart="21" format="16">
      <pivotArea type="data" outline="0" fieldPosition="0">
        <references count="2">
          <reference field="4294967294" count="1" selected="0">
            <x v="0"/>
          </reference>
          <reference field="2" count="1" selected="0">
            <x v="3"/>
          </reference>
        </references>
      </pivotArea>
    </chartFormat>
    <chartFormat chart="21"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7E004D-7B45-49AF-994C-772A2356E03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24:B37" firstHeaderRow="1" firstDataRow="1" firstDataCol="1"/>
  <pivotFields count="21">
    <pivotField showAll="0"/>
    <pivotField showAll="0"/>
    <pivotField showAll="0">
      <items count="6">
        <item x="4"/>
        <item x="3"/>
        <item x="1"/>
        <item x="0"/>
        <item x="2"/>
        <item t="default"/>
      </items>
    </pivotField>
    <pivotField showAll="0"/>
    <pivotField showAll="0">
      <items count="5">
        <item x="1"/>
        <item x="2"/>
        <item x="3"/>
        <item x="0"/>
        <item t="default"/>
      </items>
    </pivotField>
    <pivotField showAll="0"/>
    <pivotField axis="axisRow" showAll="0">
      <items count="13">
        <item x="10"/>
        <item x="6"/>
        <item x="8"/>
        <item x="0"/>
        <item x="9"/>
        <item x="3"/>
        <item x="2"/>
        <item x="4"/>
        <item x="1"/>
        <item x="7"/>
        <item x="11"/>
        <item x="5"/>
        <item t="default"/>
      </items>
    </pivotField>
    <pivotField showAll="0"/>
    <pivotField showAll="0">
      <items count="241">
        <item x="189"/>
        <item x="226"/>
        <item x="181"/>
        <item x="170"/>
        <item x="84"/>
        <item x="199"/>
        <item x="165"/>
        <item x="37"/>
        <item x="231"/>
        <item x="66"/>
        <item x="150"/>
        <item x="177"/>
        <item x="63"/>
        <item x="22"/>
        <item x="51"/>
        <item x="215"/>
        <item x="140"/>
        <item x="21"/>
        <item x="62"/>
        <item x="173"/>
        <item x="235"/>
        <item x="7"/>
        <item x="64"/>
        <item x="14"/>
        <item x="59"/>
        <item x="203"/>
        <item x="190"/>
        <item x="74"/>
        <item x="112"/>
        <item x="10"/>
        <item x="79"/>
        <item x="193"/>
        <item x="119"/>
        <item x="105"/>
        <item x="94"/>
        <item x="166"/>
        <item x="239"/>
        <item x="48"/>
        <item x="104"/>
        <item x="179"/>
        <item x="121"/>
        <item x="30"/>
        <item x="145"/>
        <item x="111"/>
        <item x="135"/>
        <item x="202"/>
        <item x="155"/>
        <item x="38"/>
        <item x="95"/>
        <item x="183"/>
        <item x="117"/>
        <item x="205"/>
        <item x="75"/>
        <item x="204"/>
        <item x="40"/>
        <item x="191"/>
        <item x="68"/>
        <item x="23"/>
        <item x="12"/>
        <item x="175"/>
        <item x="168"/>
        <item x="216"/>
        <item x="50"/>
        <item x="141"/>
        <item x="129"/>
        <item x="0"/>
        <item x="93"/>
        <item x="77"/>
        <item x="15"/>
        <item x="138"/>
        <item x="88"/>
        <item x="28"/>
        <item x="13"/>
        <item x="131"/>
        <item x="227"/>
        <item x="90"/>
        <item x="103"/>
        <item x="41"/>
        <item x="8"/>
        <item x="42"/>
        <item x="174"/>
        <item x="71"/>
        <item x="160"/>
        <item x="116"/>
        <item x="234"/>
        <item x="169"/>
        <item x="125"/>
        <item x="219"/>
        <item x="11"/>
        <item x="209"/>
        <item x="101"/>
        <item x="69"/>
        <item x="61"/>
        <item x="136"/>
        <item x="128"/>
        <item x="232"/>
        <item x="196"/>
        <item x="89"/>
        <item x="110"/>
        <item x="106"/>
        <item x="151"/>
        <item x="33"/>
        <item x="43"/>
        <item x="238"/>
        <item x="86"/>
        <item x="217"/>
        <item x="154"/>
        <item x="229"/>
        <item x="149"/>
        <item x="137"/>
        <item x="130"/>
        <item x="220"/>
        <item x="200"/>
        <item x="176"/>
        <item x="98"/>
        <item x="6"/>
        <item x="222"/>
        <item x="162"/>
        <item x="102"/>
        <item x="237"/>
        <item x="97"/>
        <item x="56"/>
        <item x="159"/>
        <item x="70"/>
        <item x="85"/>
        <item x="54"/>
        <item x="187"/>
        <item x="113"/>
        <item x="87"/>
        <item x="19"/>
        <item x="153"/>
        <item x="123"/>
        <item x="230"/>
        <item x="147"/>
        <item x="158"/>
        <item x="72"/>
        <item x="134"/>
        <item x="57"/>
        <item x="152"/>
        <item x="34"/>
        <item x="124"/>
        <item x="163"/>
        <item x="156"/>
        <item x="208"/>
        <item x="214"/>
        <item x="172"/>
        <item x="81"/>
        <item x="198"/>
        <item x="20"/>
        <item x="218"/>
        <item x="73"/>
        <item x="180"/>
        <item x="108"/>
        <item x="132"/>
        <item x="55"/>
        <item x="225"/>
        <item x="16"/>
        <item x="35"/>
        <item x="96"/>
        <item x="67"/>
        <item x="157"/>
        <item x="122"/>
        <item x="65"/>
        <item x="206"/>
        <item x="120"/>
        <item x="91"/>
        <item x="195"/>
        <item x="224"/>
        <item x="127"/>
        <item x="107"/>
        <item x="143"/>
        <item x="171"/>
        <item x="161"/>
        <item x="53"/>
        <item x="26"/>
        <item x="47"/>
        <item x="99"/>
        <item x="46"/>
        <item x="213"/>
        <item x="45"/>
        <item x="236"/>
        <item x="24"/>
        <item x="115"/>
        <item x="58"/>
        <item x="18"/>
        <item x="207"/>
        <item x="31"/>
        <item x="233"/>
        <item x="76"/>
        <item x="186"/>
        <item x="27"/>
        <item x="83"/>
        <item x="228"/>
        <item x="9"/>
        <item x="4"/>
        <item x="3"/>
        <item x="223"/>
        <item x="142"/>
        <item x="148"/>
        <item x="188"/>
        <item x="17"/>
        <item x="221"/>
        <item x="82"/>
        <item x="194"/>
        <item x="212"/>
        <item x="78"/>
        <item x="1"/>
        <item x="167"/>
        <item x="80"/>
        <item x="211"/>
        <item x="25"/>
        <item x="49"/>
        <item x="126"/>
        <item x="210"/>
        <item x="60"/>
        <item x="164"/>
        <item x="185"/>
        <item x="100"/>
        <item x="201"/>
        <item x="197"/>
        <item x="44"/>
        <item x="29"/>
        <item x="39"/>
        <item x="182"/>
        <item x="144"/>
        <item x="109"/>
        <item x="52"/>
        <item x="192"/>
        <item x="118"/>
        <item x="178"/>
        <item x="36"/>
        <item x="139"/>
        <item x="92"/>
        <item x="146"/>
        <item x="184"/>
        <item x="32"/>
        <item x="133"/>
        <item x="5"/>
        <item x="114"/>
        <item x="2"/>
        <item t="default"/>
      </items>
    </pivotField>
    <pivotField showAll="0"/>
    <pivotField dataField="1"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 dragToRow="0" dragToCol="0" dragToPage="0" showAll="0" defaultSubtotal="0"/>
  </pivotFields>
  <rowFields count="1">
    <field x="6"/>
  </rowFields>
  <rowItems count="13">
    <i>
      <x/>
    </i>
    <i>
      <x v="1"/>
    </i>
    <i>
      <x v="2"/>
    </i>
    <i>
      <x v="3"/>
    </i>
    <i>
      <x v="4"/>
    </i>
    <i>
      <x v="5"/>
    </i>
    <i>
      <x v="6"/>
    </i>
    <i>
      <x v="7"/>
    </i>
    <i>
      <x v="8"/>
    </i>
    <i>
      <x v="9"/>
    </i>
    <i>
      <x v="10"/>
    </i>
    <i>
      <x v="11"/>
    </i>
    <i t="grand">
      <x/>
    </i>
  </rowItems>
  <colItems count="1">
    <i/>
  </colItems>
  <dataFields count="1">
    <dataField name="Candidates Resigned " fld="10" baseField="6" baseItem="0"/>
  </dataFields>
  <chartFormats count="2">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0C367B8-E9EB-4EE5-8A8F-FE27165B1FF7}" autoFormatId="16" applyNumberFormats="0" applyBorderFormats="0" applyFontFormats="0" applyPatternFormats="0" applyAlignmentFormats="0" applyWidthHeightFormats="0">
  <queryTableRefresh nextId="18" unboundColumnsRight="1">
    <queryTableFields count="17">
      <queryTableField id="1" name="Employee_ID" tableColumnId="1"/>
      <queryTableField id="2" name="Name" tableColumnId="2"/>
      <queryTableField id="3" name="Department" tableColumnId="3"/>
      <queryTableField id="4" name="Designation" tableColumnId="4"/>
      <queryTableField id="5" name="Location" tableColumnId="5"/>
      <queryTableField id="6" name="Joining_Date" tableColumnId="6"/>
      <queryTableField id="13" dataBound="0" tableColumnId="13"/>
      <queryTableField id="14" dataBound="0" tableColumnId="14"/>
      <queryTableField id="7" name="Exit_Date" tableColumnId="7"/>
      <queryTableField id="8" name="Status" tableColumnId="8"/>
      <queryTableField id="15" dataBound="0" tableColumnId="15"/>
      <queryTableField id="16" dataBound="0" tableColumnId="16"/>
      <queryTableField id="9" name="Salary" tableColumnId="9"/>
      <queryTableField id="10" name="Performance_Rating" tableColumnId="10"/>
      <queryTableField id="11" name="Manager" tableColumnId="11"/>
      <queryTableField id="12" name="Attendance_%" tableColumnId="12"/>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_Month" xr10:uid="{074D9433-CF72-446D-A77D-7FFEA284A649}" sourceName="Joining Month">
  <pivotTables>
    <pivotTable tabId="5" name="PivotTable3"/>
    <pivotTable tabId="5" name="PivotTable10"/>
    <pivotTable tabId="5" name="PivotTable11"/>
    <pivotTable tabId="5" name="PivotTable12"/>
    <pivotTable tabId="5" name="PivotTable13"/>
    <pivotTable tabId="5" name="PivotTable5"/>
    <pivotTable tabId="5" name="PivotTable6"/>
    <pivotTable tabId="5" name="PivotTable7"/>
    <pivotTable tabId="5" name="PivotTable19"/>
  </pivotTables>
  <data>
    <tabular pivotCacheId="1857866647">
      <items count="12">
        <i x="10" s="1"/>
        <i x="6" s="1"/>
        <i x="8" s="1"/>
        <i x="0" s="1"/>
        <i x="9" s="1"/>
        <i x="3" s="1"/>
        <i x="2" s="1"/>
        <i x="4" s="1"/>
        <i x="1" s="1"/>
        <i x="7" s="1"/>
        <i x="1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86E97FB-8739-4D16-A79A-ACC66F6490DE}" sourceName="Department">
  <pivotTables>
    <pivotTable tabId="5" name="PivotTable3"/>
    <pivotTable tabId="5" name="PivotTable10"/>
    <pivotTable tabId="5" name="PivotTable11"/>
    <pivotTable tabId="5" name="PivotTable12"/>
    <pivotTable tabId="5" name="PivotTable13"/>
    <pivotTable tabId="5" name="PivotTable5"/>
    <pivotTable tabId="5" name="PivotTable6"/>
    <pivotTable tabId="5" name="PivotTable7"/>
    <pivotTable tabId="5" name="PivotTable19"/>
  </pivotTables>
  <data>
    <tabular pivotCacheId="1857866647">
      <items count="5">
        <i x="4" s="1"/>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2A7D6E9F-2388-4C16-A339-D3E86B296C64}" sourceName="Location">
  <pivotTables>
    <pivotTable tabId="5" name="PivotTable3"/>
    <pivotTable tabId="5" name="PivotTable10"/>
    <pivotTable tabId="5" name="PivotTable11"/>
    <pivotTable tabId="5" name="PivotTable12"/>
    <pivotTable tabId="5" name="PivotTable13"/>
    <pivotTable tabId="5" name="PivotTable5"/>
    <pivotTable tabId="5" name="PivotTable6"/>
    <pivotTable tabId="5" name="PivotTable7"/>
    <pivotTable tabId="5" name="PivotTable19"/>
  </pivotTables>
  <data>
    <tabular pivotCacheId="1857866647">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5B536DC2-0009-4715-821E-15B774183A63}" cache="Slicer_Joining_Month" caption="Months" rowHeight="234950"/>
  <slicer name="Department" xr10:uid="{5226F8F1-6B64-477F-900A-5829486EB8D2}" cache="Slicer_Department" caption="Department" columnCount="5" rowHeight="234950"/>
  <slicer name="Location" xr10:uid="{5961A03E-4E66-4650-BC97-08255C76087F}" cache="Slicer_Location" caption="Location"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7E3F95D0-141E-41B3-A124-C6883B2F2D35}" cache="Slicer_Location" caption="Loca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C1B332-CF9A-4EB4-830B-A3F01A2BCC0F}" name="Table1_1" displayName="Table1_1" ref="A1:Q501" tableType="queryTable" totalsRowShown="0">
  <tableColumns count="17">
    <tableColumn id="1" xr3:uid="{0DBDE31D-A939-4915-B916-2F21F71C8B78}" uniqueName="1" name="Employee_ID" queryTableFieldId="1"/>
    <tableColumn id="2" xr3:uid="{BDD6C2EE-20CE-4EEA-9D00-3A92B4F2CBAA}" uniqueName="2" name="Name" queryTableFieldId="2"/>
    <tableColumn id="3" xr3:uid="{E3105219-DE76-4CE4-BF43-47CF675C876B}" uniqueName="3" name="Department" queryTableFieldId="3"/>
    <tableColumn id="4" xr3:uid="{869ABA62-6E68-49A9-B8B1-E779E09CA8A0}" uniqueName="4" name="Designation" queryTableFieldId="4"/>
    <tableColumn id="5" xr3:uid="{60B0B91E-2EA6-44BB-9868-2B8C63ACFCCD}" uniqueName="5" name="Location" queryTableFieldId="5"/>
    <tableColumn id="6" xr3:uid="{8A1D5B48-BADA-4581-B114-5E28C3723C69}" uniqueName="6" name="Joining_Date" queryTableFieldId="6"/>
    <tableColumn id="13" xr3:uid="{42AAF2A0-EE2D-46E8-B9AA-2E29E357299B}" uniqueName="13" name="Joining Month" queryTableFieldId="13" dataDxfId="13">
      <calculatedColumnFormula>TEXT(Table1_1[[#This Row],[Joining_Date]],"mmm")</calculatedColumnFormula>
    </tableColumn>
    <tableColumn id="14" xr3:uid="{95795FC9-22A5-468C-A413-846EFAC8E230}" uniqueName="14" name="Year" queryTableFieldId="14" dataDxfId="12">
      <calculatedColumnFormula>TEXT(Table1_1[[#This Row],[Joining_Date]],"yyyy")</calculatedColumnFormula>
    </tableColumn>
    <tableColumn id="7" xr3:uid="{88466CB6-D0BF-40EC-BC02-89D3B3E8CCB3}" uniqueName="7" name="Exit_Date" queryTableFieldId="7" dataDxfId="11"/>
    <tableColumn id="8" xr3:uid="{4F357BBC-F07B-4830-83F4-B6E5FF06DD4E}" uniqueName="8" name="Status" queryTableFieldId="8"/>
    <tableColumn id="15" xr3:uid="{ECD7DBCF-5BF2-495A-900B-13A0E973FFC1}" uniqueName="15" name="Attration Flag" queryTableFieldId="15" dataDxfId="10">
      <calculatedColumnFormula>IF(Table1_1[[#This Row],[Status]]="Exited",1,0)</calculatedColumnFormula>
    </tableColumn>
    <tableColumn id="16" xr3:uid="{D307D828-C53F-4BC9-85C8-605D0A13C8C2}" uniqueName="16" name="Working" queryTableFieldId="16" dataDxfId="9">
      <calculatedColumnFormula>IF(Table1_1[[#This Row],[Status]]="Exited",0,1)</calculatedColumnFormula>
    </tableColumn>
    <tableColumn id="9" xr3:uid="{731A0244-4777-4880-B431-1BDDC2826AE9}" uniqueName="9" name="Salary" queryTableFieldId="9"/>
    <tableColumn id="10" xr3:uid="{7A11B9CB-0EB5-4F30-A7E7-2C41F0691BD2}" uniqueName="10" name="Performance_Rating" queryTableFieldId="10"/>
    <tableColumn id="11" xr3:uid="{45A84CDD-FFBA-4A78-8BAD-A23206555DC0}" uniqueName="11" name="Manager" queryTableFieldId="11"/>
    <tableColumn id="12" xr3:uid="{31F2FDD2-3C10-4A9A-A2EF-5372CE8220E7}" uniqueName="12" name="Attendance_%" queryTableFieldId="12"/>
    <tableColumn id="17" xr3:uid="{35862487-E532-46BA-BDE6-2E2651800BF0}" uniqueName="17" name="Performance Distribution" queryTableFieldId="17" dataDxfId="8">
      <calculatedColumnFormula>IF(AND(N2&gt;4,P2&gt;=75),"High",
 IF(AND(N2&gt;2,N2&lt;=4,P2&gt;40,P2&lt;=74),"Average","Low"))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0E1E5-E7A9-46A8-8966-3C767BFFEAA2}">
  <dimension ref="A1:Y43"/>
  <sheetViews>
    <sheetView showGridLines="0" showRowColHeaders="0" tabSelected="1" zoomScale="70" zoomScaleNormal="70" workbookViewId="0">
      <selection activeCell="A6" sqref="A6"/>
    </sheetView>
  </sheetViews>
  <sheetFormatPr defaultColWidth="0" defaultRowHeight="14.4" zeroHeight="1" x14ac:dyDescent="0.3"/>
  <cols>
    <col min="1" max="20" width="8.88671875" customWidth="1"/>
    <col min="21" max="25" width="0" hidden="1" customWidth="1"/>
    <col min="26" max="16384" width="8.88671875" hidden="1"/>
  </cols>
  <sheetData>
    <row r="1" spans="7:7" x14ac:dyDescent="0.3"/>
    <row r="2" spans="7:7" x14ac:dyDescent="0.3"/>
    <row r="3" spans="7:7" x14ac:dyDescent="0.3"/>
    <row r="4" spans="7:7" x14ac:dyDescent="0.3"/>
    <row r="5" spans="7:7" x14ac:dyDescent="0.3"/>
    <row r="6" spans="7:7" x14ac:dyDescent="0.3"/>
    <row r="7" spans="7:7" x14ac:dyDescent="0.3"/>
    <row r="8" spans="7:7" x14ac:dyDescent="0.3">
      <c r="G8" t="str">
        <f>Findings!H8&amp;" "</f>
        <v xml:space="preserve"> </v>
      </c>
    </row>
    <row r="9" spans="7:7" x14ac:dyDescent="0.3"/>
    <row r="10" spans="7:7" x14ac:dyDescent="0.3"/>
    <row r="11" spans="7:7" x14ac:dyDescent="0.3"/>
    <row r="12" spans="7:7" x14ac:dyDescent="0.3"/>
    <row r="13" spans="7:7" x14ac:dyDescent="0.3"/>
    <row r="14" spans="7:7" x14ac:dyDescent="0.3"/>
    <row r="15" spans="7:7" x14ac:dyDescent="0.3"/>
    <row r="16" spans="7:7"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row r="33" x14ac:dyDescent="0.3"/>
    <row r="34" x14ac:dyDescent="0.3"/>
    <row r="35" x14ac:dyDescent="0.3"/>
    <row r="36" x14ac:dyDescent="0.3"/>
    <row r="37" x14ac:dyDescent="0.3"/>
    <row r="38" x14ac:dyDescent="0.3"/>
    <row r="39" x14ac:dyDescent="0.3"/>
    <row r="40" x14ac:dyDescent="0.3"/>
    <row r="41" x14ac:dyDescent="0.3"/>
    <row r="42" x14ac:dyDescent="0.3"/>
    <row r="43"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A1D0D-94F2-475C-AFF4-AFC7A92014B6}">
  <dimension ref="A1:J83"/>
  <sheetViews>
    <sheetView topLeftCell="B1" workbookViewId="0">
      <selection activeCell="B1" sqref="A1:XFD1048576"/>
    </sheetView>
  </sheetViews>
  <sheetFormatPr defaultRowHeight="14.4" x14ac:dyDescent="0.3"/>
  <cols>
    <col min="1" max="1" width="12.5546875" bestFit="1" customWidth="1"/>
    <col min="2" max="2" width="30.44140625" bestFit="1" customWidth="1"/>
    <col min="3" max="3" width="8.5546875" bestFit="1" customWidth="1"/>
    <col min="4" max="4" width="4" bestFit="1" customWidth="1"/>
    <col min="5" max="5" width="10.21875" bestFit="1" customWidth="1"/>
    <col min="6" max="6" width="12.5546875" bestFit="1" customWidth="1"/>
    <col min="7" max="7" width="23.109375" bestFit="1" customWidth="1"/>
    <col min="8" max="8" width="21.109375" bestFit="1" customWidth="1"/>
    <col min="9" max="9" width="12.5546875" bestFit="1" customWidth="1"/>
    <col min="10" max="10" width="22.21875" bestFit="1" customWidth="1"/>
    <col min="11" max="12" width="17" bestFit="1" customWidth="1"/>
    <col min="13" max="13" width="23.109375" bestFit="1" customWidth="1"/>
  </cols>
  <sheetData>
    <row r="1" spans="1:7" x14ac:dyDescent="0.3">
      <c r="F1" s="10" t="s">
        <v>1548</v>
      </c>
      <c r="G1" s="10" t="s">
        <v>1547</v>
      </c>
    </row>
    <row r="2" spans="1:7" x14ac:dyDescent="0.3">
      <c r="A2" s="13" t="s">
        <v>1507</v>
      </c>
      <c r="B2" s="13"/>
      <c r="F2" s="8" t="s">
        <v>1543</v>
      </c>
      <c r="G2" s="9">
        <f>GETPIVOTDATA("Attration Flag",$I$29)</f>
        <v>0.50600000000000001</v>
      </c>
    </row>
    <row r="3" spans="1:7" x14ac:dyDescent="0.3">
      <c r="A3" s="2" t="s">
        <v>1492</v>
      </c>
      <c r="B3" t="s">
        <v>1506</v>
      </c>
      <c r="F3" s="8" t="s">
        <v>1544</v>
      </c>
      <c r="G3" s="9">
        <f>MAX(GETPIVOTDATA("Attration Flag",$I$29,"Department","Finance"),GETPIVOTDATA("Attration Flag",$I$29,"Department","HR"),GETPIVOTDATA("Attration Flag",$I$29,"Department","IT"),GETPIVOTDATA("Attration Flag",$I$29,"Department","Operations"),GETPIVOTDATA("Attration Flag",$I$29,"Department","Sales"))</f>
        <v>0.55555555555555558</v>
      </c>
    </row>
    <row r="4" spans="1:7" x14ac:dyDescent="0.3">
      <c r="A4" s="3" t="s">
        <v>61</v>
      </c>
      <c r="B4" s="15">
        <v>45</v>
      </c>
      <c r="F4" s="8" t="s">
        <v>1545</v>
      </c>
      <c r="G4" s="8" t="str">
        <f>VLOOKUP(MAX(GETPIVOTDATA("Attration Flag",$A$24,"Joining Month","Jan"),GETPIVOTDATA("Attration Flag",$A$24,"Joining Month","Feb"),GETPIVOTDATA("Attration Flag",$A$24,"Joining Month","Mar"),GETPIVOTDATA("Attration Flag",$A$24,"Joining Month","Apr"),GETPIVOTDATA("Attration Flag",$A$24,"Joining Month","May"),GETPIVOTDATA("Attration Flag",$A$24,"Joining Month","Jun"),GETPIVOTDATA("Attration Flag",$A$24,"Joining Month","Jul"),GETPIVOTDATA("Attration Flag",$A$24,"Joining Month","Aug"),GETPIVOTDATA("Attration Flag",$A$24,"Joining Month","Sep"),GETPIVOTDATA("Attration Flag",$A$24,"Joining Month","Oct"),GETPIVOTDATA("Attration Flag",$A$24,"Joining Month","Nov"),GETPIVOTDATA("Attration Flag",$A$24,"Joining Month","Dec")),CHOOSE({1,2},B25:B36,A25:A36),2,0)</f>
        <v>Jun</v>
      </c>
    </row>
    <row r="5" spans="1:7" x14ac:dyDescent="0.3">
      <c r="A5" s="3" t="s">
        <v>54</v>
      </c>
      <c r="B5" s="15">
        <v>64</v>
      </c>
      <c r="F5" s="8" t="s">
        <v>1546</v>
      </c>
      <c r="G5" s="8" t="str">
        <f>VLOOKUP(MAX(B63:B64),CHOOSE({1,2},B63:B64,A63:A64),2,0)</f>
        <v>Low</v>
      </c>
    </row>
    <row r="6" spans="1:7" x14ac:dyDescent="0.3">
      <c r="A6" s="3" t="s">
        <v>22</v>
      </c>
      <c r="B6" s="15">
        <v>56</v>
      </c>
      <c r="F6" s="8" t="s">
        <v>1528</v>
      </c>
      <c r="G6" s="8">
        <f>GETPIVOTDATA("Employee_ID",$A$74)</f>
        <v>500</v>
      </c>
    </row>
    <row r="7" spans="1:7" x14ac:dyDescent="0.3">
      <c r="A7" s="3" t="s">
        <v>14</v>
      </c>
      <c r="B7" s="15">
        <v>41</v>
      </c>
      <c r="F7" s="8" t="s">
        <v>1512</v>
      </c>
      <c r="G7">
        <f>GETPIVOTDATA("Working",$A$15)</f>
        <v>247</v>
      </c>
    </row>
    <row r="8" spans="1:7" x14ac:dyDescent="0.3">
      <c r="A8" s="3" t="s">
        <v>37</v>
      </c>
      <c r="B8" s="15">
        <v>47</v>
      </c>
      <c r="F8" s="8" t="s">
        <v>1529</v>
      </c>
      <c r="G8" s="9">
        <f>GETPIVOTDATA("Attration Flag",$I$29)</f>
        <v>0.50600000000000001</v>
      </c>
    </row>
    <row r="9" spans="1:7" x14ac:dyDescent="0.3">
      <c r="A9" s="3" t="s">
        <v>1493</v>
      </c>
      <c r="B9" s="15">
        <v>253</v>
      </c>
      <c r="F9" s="8" t="s">
        <v>1530</v>
      </c>
      <c r="G9" s="11">
        <f>GETPIVOTDATA("Salary",$A$77)</f>
        <v>712289.96</v>
      </c>
    </row>
    <row r="10" spans="1:7" x14ac:dyDescent="0.3">
      <c r="A10" s="3"/>
      <c r="F10" s="8" t="s">
        <v>1531</v>
      </c>
      <c r="G10" s="12">
        <f>GETPIVOTDATA("Attendance_%",$F$13)</f>
        <v>87.303000000000083</v>
      </c>
    </row>
    <row r="11" spans="1:7" x14ac:dyDescent="0.3">
      <c r="A11" s="3"/>
      <c r="F11" s="8" t="s">
        <v>1539</v>
      </c>
      <c r="G11" s="9" t="str">
        <f>VLOOKUP(MAX(GETPIVOTDATA("Attration Flag",$I$29,"Department","Finance"),GETPIVOTDATA("Attration Flag",$I$29,"Department","HR"),GETPIVOTDATA("Attration Flag",$I$29,"Department","IT"),GETPIVOTDATA("Attration Flag",$I$29,"Department","Operations"),GETPIVOTDATA("Attration Flag",$I$29,"Department","Sales")),CHOOSE({1,2},J30:J34,I30:I34),2,0)</f>
        <v>Finance</v>
      </c>
    </row>
    <row r="12" spans="1:7" x14ac:dyDescent="0.3">
      <c r="F12" s="4"/>
      <c r="G12" s="4"/>
    </row>
    <row r="13" spans="1:7" x14ac:dyDescent="0.3">
      <c r="F13" s="2" t="s">
        <v>1492</v>
      </c>
      <c r="G13" t="s">
        <v>1533</v>
      </c>
    </row>
    <row r="14" spans="1:7" x14ac:dyDescent="0.3">
      <c r="A14" s="13" t="s">
        <v>1508</v>
      </c>
      <c r="B14" s="13"/>
      <c r="F14" s="3" t="s">
        <v>61</v>
      </c>
      <c r="G14" s="6">
        <v>87.745679012345704</v>
      </c>
    </row>
    <row r="15" spans="1:7" x14ac:dyDescent="0.3">
      <c r="A15" s="2" t="s">
        <v>1492</v>
      </c>
      <c r="B15" t="s">
        <v>1512</v>
      </c>
      <c r="F15" s="3" t="s">
        <v>54</v>
      </c>
      <c r="G15" s="6">
        <v>87.557599999999965</v>
      </c>
    </row>
    <row r="16" spans="1:7" x14ac:dyDescent="0.3">
      <c r="A16" s="3" t="s">
        <v>61</v>
      </c>
      <c r="B16" s="15">
        <v>36</v>
      </c>
      <c r="F16" s="3" t="s">
        <v>22</v>
      </c>
      <c r="G16" s="6">
        <v>87.28073394495415</v>
      </c>
    </row>
    <row r="17" spans="1:10" x14ac:dyDescent="0.3">
      <c r="A17" s="3" t="s">
        <v>54</v>
      </c>
      <c r="B17" s="15">
        <v>61</v>
      </c>
      <c r="F17" s="3" t="s">
        <v>14</v>
      </c>
      <c r="G17" s="6">
        <v>86.674193548387109</v>
      </c>
    </row>
    <row r="18" spans="1:10" x14ac:dyDescent="0.3">
      <c r="A18" s="3" t="s">
        <v>22</v>
      </c>
      <c r="B18" s="15">
        <v>53</v>
      </c>
      <c r="F18" s="3" t="s">
        <v>37</v>
      </c>
      <c r="G18" s="6">
        <v>87.229347826086979</v>
      </c>
    </row>
    <row r="19" spans="1:10" x14ac:dyDescent="0.3">
      <c r="A19" s="3" t="s">
        <v>14</v>
      </c>
      <c r="B19" s="15">
        <v>52</v>
      </c>
      <c r="F19" s="3" t="s">
        <v>1493</v>
      </c>
      <c r="G19" s="6">
        <v>87.303000000000083</v>
      </c>
    </row>
    <row r="20" spans="1:10" x14ac:dyDescent="0.3">
      <c r="A20" s="3" t="s">
        <v>37</v>
      </c>
      <c r="B20" s="15">
        <v>45</v>
      </c>
    </row>
    <row r="21" spans="1:10" x14ac:dyDescent="0.3">
      <c r="A21" s="3" t="s">
        <v>1493</v>
      </c>
      <c r="B21" s="15">
        <v>247</v>
      </c>
      <c r="F21" s="14" t="s">
        <v>1536</v>
      </c>
      <c r="G21" s="14"/>
      <c r="H21" s="14"/>
      <c r="I21" s="14"/>
    </row>
    <row r="22" spans="1:10" x14ac:dyDescent="0.3">
      <c r="F22" s="7" t="s">
        <v>2</v>
      </c>
      <c r="G22" s="8" t="s">
        <v>1537</v>
      </c>
      <c r="H22" s="8" t="s">
        <v>1538</v>
      </c>
      <c r="I22" s="8" t="s">
        <v>1542</v>
      </c>
    </row>
    <row r="23" spans="1:10" x14ac:dyDescent="0.3">
      <c r="A23" s="13" t="s">
        <v>1532</v>
      </c>
      <c r="B23" s="13"/>
      <c r="F23" s="8" t="s">
        <v>61</v>
      </c>
      <c r="G23" s="8">
        <f>SUMIFS(Table1_1[Attration Flag],Table1_1[Department],Findings!$F23)</f>
        <v>45</v>
      </c>
      <c r="H23" s="8">
        <f>COUNTIFS(Table1_1[Department],Findings!$F23)</f>
        <v>81</v>
      </c>
      <c r="I23" s="9">
        <f>(G23/H23)</f>
        <v>0.55555555555555558</v>
      </c>
    </row>
    <row r="24" spans="1:10" x14ac:dyDescent="0.3">
      <c r="A24" s="2" t="s">
        <v>1492</v>
      </c>
      <c r="B24" t="s">
        <v>1510</v>
      </c>
      <c r="F24" s="8" t="s">
        <v>54</v>
      </c>
      <c r="G24" s="8">
        <f>SUMIFS(Table1_1[Attration Flag],Table1_1[Department],Findings!$F24)</f>
        <v>64</v>
      </c>
      <c r="H24" s="8">
        <f>COUNTIFS(Table1_1[Department],Findings!$F24)</f>
        <v>125</v>
      </c>
      <c r="I24" s="9">
        <f t="shared" ref="I24:I27" si="0">(G24/H24)</f>
        <v>0.51200000000000001</v>
      </c>
    </row>
    <row r="25" spans="1:10" x14ac:dyDescent="0.3">
      <c r="A25" s="3" t="s">
        <v>1494</v>
      </c>
      <c r="B25" s="15">
        <v>19</v>
      </c>
      <c r="F25" s="8" t="s">
        <v>22</v>
      </c>
      <c r="G25" s="8">
        <f>SUMIFS(Table1_1[Attration Flag],Table1_1[Department],Findings!$F25)</f>
        <v>56</v>
      </c>
      <c r="H25" s="8">
        <f>COUNTIFS(Table1_1[Department],Findings!$F25)</f>
        <v>109</v>
      </c>
      <c r="I25" s="9">
        <f t="shared" si="0"/>
        <v>0.51376146788990829</v>
      </c>
    </row>
    <row r="26" spans="1:10" x14ac:dyDescent="0.3">
      <c r="A26" s="3" t="s">
        <v>1495</v>
      </c>
      <c r="B26" s="15">
        <v>18</v>
      </c>
      <c r="F26" s="8" t="s">
        <v>14</v>
      </c>
      <c r="G26" s="8">
        <f>SUMIFS(Table1_1[Attration Flag],Table1_1[Department],Findings!$F26)</f>
        <v>41</v>
      </c>
      <c r="H26" s="8">
        <f>COUNTIFS(Table1_1[Department],Findings!$F26)</f>
        <v>93</v>
      </c>
      <c r="I26" s="9">
        <f t="shared" si="0"/>
        <v>0.44086021505376344</v>
      </c>
    </row>
    <row r="27" spans="1:10" x14ac:dyDescent="0.3">
      <c r="A27" s="3" t="s">
        <v>1496</v>
      </c>
      <c r="B27" s="15">
        <v>25</v>
      </c>
      <c r="F27" s="8" t="s">
        <v>37</v>
      </c>
      <c r="G27" s="8">
        <f>SUMIFS(Table1_1[Attration Flag],Table1_1[Department],Findings!$F27)</f>
        <v>47</v>
      </c>
      <c r="H27" s="8">
        <f>COUNTIFS(Table1_1[Department],Findings!$F27)</f>
        <v>92</v>
      </c>
      <c r="I27" s="9">
        <f t="shared" si="0"/>
        <v>0.51086956521739135</v>
      </c>
    </row>
    <row r="28" spans="1:10" x14ac:dyDescent="0.3">
      <c r="A28" s="3" t="s">
        <v>1497</v>
      </c>
      <c r="B28" s="15">
        <v>19</v>
      </c>
      <c r="F28" s="13"/>
      <c r="G28" s="13"/>
    </row>
    <row r="29" spans="1:10" x14ac:dyDescent="0.3">
      <c r="A29" s="3" t="s">
        <v>1498</v>
      </c>
      <c r="B29" s="15">
        <v>24</v>
      </c>
      <c r="F29" s="3" t="s">
        <v>61</v>
      </c>
      <c r="G29">
        <f>VLOOKUP(F29,A3:B9,2,0)</f>
        <v>45</v>
      </c>
      <c r="I29" s="2" t="s">
        <v>1492</v>
      </c>
      <c r="J29" t="s">
        <v>1535</v>
      </c>
    </row>
    <row r="30" spans="1:10" x14ac:dyDescent="0.3">
      <c r="A30" s="3" t="s">
        <v>1499</v>
      </c>
      <c r="B30" s="15">
        <v>28</v>
      </c>
      <c r="F30" s="3" t="s">
        <v>54</v>
      </c>
      <c r="G30">
        <f>VLOOKUP(F30,A4:B12,2,0)</f>
        <v>64</v>
      </c>
      <c r="I30" s="3" t="s">
        <v>61</v>
      </c>
      <c r="J30" s="5">
        <v>0.55555555555555558</v>
      </c>
    </row>
    <row r="31" spans="1:10" x14ac:dyDescent="0.3">
      <c r="A31" s="3" t="s">
        <v>1500</v>
      </c>
      <c r="B31" s="15">
        <v>23</v>
      </c>
      <c r="F31" s="3" t="s">
        <v>22</v>
      </c>
      <c r="G31">
        <f>VLOOKUP(F31,A5:B13,2,0)</f>
        <v>56</v>
      </c>
      <c r="I31" s="3" t="s">
        <v>54</v>
      </c>
      <c r="J31" s="5">
        <v>0.51200000000000001</v>
      </c>
    </row>
    <row r="32" spans="1:10" x14ac:dyDescent="0.3">
      <c r="A32" s="3" t="s">
        <v>1501</v>
      </c>
      <c r="B32" s="15">
        <v>15</v>
      </c>
      <c r="F32" s="3" t="s">
        <v>14</v>
      </c>
      <c r="G32">
        <f>VLOOKUP(F32,A6:B14,2,0)</f>
        <v>41</v>
      </c>
      <c r="I32" s="3" t="s">
        <v>22</v>
      </c>
      <c r="J32" s="5">
        <v>0.51376146788990829</v>
      </c>
    </row>
    <row r="33" spans="1:10" x14ac:dyDescent="0.3">
      <c r="A33" s="3" t="s">
        <v>1502</v>
      </c>
      <c r="B33" s="15">
        <v>21</v>
      </c>
      <c r="F33" s="3" t="s">
        <v>37</v>
      </c>
      <c r="G33">
        <f>VLOOKUP(F33,A7:B15,2,0)</f>
        <v>47</v>
      </c>
      <c r="I33" s="3" t="s">
        <v>14</v>
      </c>
      <c r="J33" s="5">
        <v>0.44086021505376344</v>
      </c>
    </row>
    <row r="34" spans="1:10" x14ac:dyDescent="0.3">
      <c r="A34" s="3" t="s">
        <v>1503</v>
      </c>
      <c r="B34" s="15">
        <v>18</v>
      </c>
      <c r="I34" s="3" t="s">
        <v>37</v>
      </c>
      <c r="J34" s="5">
        <v>0.51086956521739135</v>
      </c>
    </row>
    <row r="35" spans="1:10" x14ac:dyDescent="0.3">
      <c r="A35" s="3" t="s">
        <v>1504</v>
      </c>
      <c r="B35" s="15">
        <v>21</v>
      </c>
      <c r="F35" s="2" t="s">
        <v>1492</v>
      </c>
      <c r="I35" s="3" t="s">
        <v>1493</v>
      </c>
      <c r="J35" s="5">
        <v>0.50600000000000001</v>
      </c>
    </row>
    <row r="36" spans="1:10" x14ac:dyDescent="0.3">
      <c r="A36" s="3" t="s">
        <v>1505</v>
      </c>
      <c r="B36" s="15">
        <v>22</v>
      </c>
      <c r="F36" s="3" t="s">
        <v>61</v>
      </c>
    </row>
    <row r="37" spans="1:10" x14ac:dyDescent="0.3">
      <c r="A37" s="3" t="s">
        <v>1493</v>
      </c>
      <c r="B37" s="15">
        <v>253</v>
      </c>
      <c r="F37" s="3" t="s">
        <v>54</v>
      </c>
    </row>
    <row r="38" spans="1:10" x14ac:dyDescent="0.3">
      <c r="F38" s="3" t="s">
        <v>22</v>
      </c>
    </row>
    <row r="39" spans="1:10" x14ac:dyDescent="0.3">
      <c r="A39" s="13" t="s">
        <v>1534</v>
      </c>
      <c r="B39" s="13"/>
      <c r="F39" s="3" t="s">
        <v>14</v>
      </c>
    </row>
    <row r="40" spans="1:10" x14ac:dyDescent="0.3">
      <c r="A40" s="2" t="s">
        <v>1492</v>
      </c>
      <c r="B40" t="s">
        <v>1541</v>
      </c>
      <c r="C40" t="s">
        <v>1540</v>
      </c>
      <c r="F40" s="3" t="s">
        <v>37</v>
      </c>
    </row>
    <row r="41" spans="1:10" x14ac:dyDescent="0.3">
      <c r="A41" s="3" t="s">
        <v>1494</v>
      </c>
      <c r="B41" s="15">
        <v>16</v>
      </c>
      <c r="C41" s="15">
        <v>19</v>
      </c>
      <c r="F41" s="3" t="s">
        <v>1493</v>
      </c>
    </row>
    <row r="42" spans="1:10" x14ac:dyDescent="0.3">
      <c r="A42" s="3" t="s">
        <v>1495</v>
      </c>
      <c r="B42" s="15">
        <v>21</v>
      </c>
      <c r="C42" s="15">
        <v>18</v>
      </c>
    </row>
    <row r="43" spans="1:10" x14ac:dyDescent="0.3">
      <c r="A43" s="3" t="s">
        <v>1496</v>
      </c>
      <c r="B43" s="15">
        <v>18</v>
      </c>
      <c r="C43" s="15">
        <v>25</v>
      </c>
    </row>
    <row r="44" spans="1:10" x14ac:dyDescent="0.3">
      <c r="A44" s="3" t="s">
        <v>1497</v>
      </c>
      <c r="B44" s="15">
        <v>23</v>
      </c>
      <c r="C44" s="15">
        <v>19</v>
      </c>
    </row>
    <row r="45" spans="1:10" x14ac:dyDescent="0.3">
      <c r="A45" s="3" t="s">
        <v>1498</v>
      </c>
      <c r="B45" s="15">
        <v>14</v>
      </c>
      <c r="C45" s="15">
        <v>24</v>
      </c>
    </row>
    <row r="46" spans="1:10" x14ac:dyDescent="0.3">
      <c r="A46" s="3" t="s">
        <v>1499</v>
      </c>
      <c r="B46" s="15">
        <v>20</v>
      </c>
      <c r="C46" s="15">
        <v>28</v>
      </c>
    </row>
    <row r="47" spans="1:10" x14ac:dyDescent="0.3">
      <c r="A47" s="3" t="s">
        <v>1500</v>
      </c>
      <c r="B47" s="15">
        <v>32</v>
      </c>
      <c r="C47" s="15">
        <v>23</v>
      </c>
    </row>
    <row r="48" spans="1:10" x14ac:dyDescent="0.3">
      <c r="A48" s="3" t="s">
        <v>1501</v>
      </c>
      <c r="B48" s="15">
        <v>24</v>
      </c>
      <c r="C48" s="15">
        <v>15</v>
      </c>
    </row>
    <row r="49" spans="1:3" x14ac:dyDescent="0.3">
      <c r="A49" s="3" t="s">
        <v>1502</v>
      </c>
      <c r="B49" s="15">
        <v>28</v>
      </c>
      <c r="C49" s="15">
        <v>21</v>
      </c>
    </row>
    <row r="50" spans="1:3" x14ac:dyDescent="0.3">
      <c r="A50" s="3" t="s">
        <v>1503</v>
      </c>
      <c r="B50" s="15">
        <v>17</v>
      </c>
      <c r="C50" s="15">
        <v>18</v>
      </c>
    </row>
    <row r="51" spans="1:3" x14ac:dyDescent="0.3">
      <c r="A51" s="3" t="s">
        <v>1504</v>
      </c>
      <c r="B51" s="15">
        <v>19</v>
      </c>
      <c r="C51" s="15">
        <v>21</v>
      </c>
    </row>
    <row r="52" spans="1:3" x14ac:dyDescent="0.3">
      <c r="A52" s="3" t="s">
        <v>1505</v>
      </c>
      <c r="B52" s="15">
        <v>15</v>
      </c>
      <c r="C52" s="15">
        <v>22</v>
      </c>
    </row>
    <row r="53" spans="1:3" x14ac:dyDescent="0.3">
      <c r="A53" s="3" t="s">
        <v>1493</v>
      </c>
      <c r="B53" s="15">
        <v>247</v>
      </c>
      <c r="C53" s="15">
        <v>253</v>
      </c>
    </row>
    <row r="55" spans="1:3" x14ac:dyDescent="0.3">
      <c r="A55" s="13" t="s">
        <v>1513</v>
      </c>
      <c r="B55" s="13"/>
    </row>
    <row r="56" spans="1:3" x14ac:dyDescent="0.3">
      <c r="A56" s="2" t="s">
        <v>1492</v>
      </c>
      <c r="B56" t="s">
        <v>1524</v>
      </c>
    </row>
    <row r="57" spans="1:3" x14ac:dyDescent="0.3">
      <c r="A57" s="3" t="s">
        <v>1520</v>
      </c>
      <c r="B57" s="15">
        <v>165</v>
      </c>
    </row>
    <row r="58" spans="1:3" x14ac:dyDescent="0.3">
      <c r="A58" s="3" t="s">
        <v>1523</v>
      </c>
      <c r="B58" s="15">
        <v>335</v>
      </c>
    </row>
    <row r="59" spans="1:3" x14ac:dyDescent="0.3">
      <c r="A59" s="3" t="s">
        <v>1493</v>
      </c>
      <c r="B59" s="15">
        <v>500</v>
      </c>
    </row>
    <row r="61" spans="1:3" x14ac:dyDescent="0.3">
      <c r="A61" s="13" t="s">
        <v>1526</v>
      </c>
      <c r="B61" s="13"/>
    </row>
    <row r="62" spans="1:3" x14ac:dyDescent="0.3">
      <c r="A62" s="2" t="s">
        <v>1492</v>
      </c>
      <c r="B62" t="s">
        <v>1506</v>
      </c>
    </row>
    <row r="63" spans="1:3" x14ac:dyDescent="0.3">
      <c r="A63" s="3" t="s">
        <v>1520</v>
      </c>
      <c r="B63" s="15">
        <v>89</v>
      </c>
    </row>
    <row r="64" spans="1:3" x14ac:dyDescent="0.3">
      <c r="A64" s="3" t="s">
        <v>1523</v>
      </c>
      <c r="B64" s="15">
        <v>164</v>
      </c>
    </row>
    <row r="65" spans="1:7" x14ac:dyDescent="0.3">
      <c r="A65" s="3" t="s">
        <v>1493</v>
      </c>
      <c r="B65" s="15">
        <v>253</v>
      </c>
    </row>
    <row r="67" spans="1:7" x14ac:dyDescent="0.3">
      <c r="A67" s="13" t="s">
        <v>1527</v>
      </c>
      <c r="B67" s="13"/>
    </row>
    <row r="68" spans="1:7" x14ac:dyDescent="0.3">
      <c r="A68" s="2" t="s">
        <v>1524</v>
      </c>
      <c r="B68" s="2" t="s">
        <v>1525</v>
      </c>
    </row>
    <row r="69" spans="1:7" x14ac:dyDescent="0.3">
      <c r="A69" s="2" t="s">
        <v>1492</v>
      </c>
      <c r="B69" t="s">
        <v>61</v>
      </c>
      <c r="C69" t="s">
        <v>54</v>
      </c>
      <c r="D69" t="s">
        <v>22</v>
      </c>
      <c r="E69" t="s">
        <v>14</v>
      </c>
      <c r="F69" t="s">
        <v>37</v>
      </c>
      <c r="G69" t="s">
        <v>1493</v>
      </c>
    </row>
    <row r="70" spans="1:7" x14ac:dyDescent="0.3">
      <c r="A70" s="3" t="s">
        <v>1520</v>
      </c>
      <c r="B70" s="15">
        <v>27</v>
      </c>
      <c r="C70" s="15">
        <v>33</v>
      </c>
      <c r="D70" s="15">
        <v>37</v>
      </c>
      <c r="E70" s="15">
        <v>34</v>
      </c>
      <c r="F70" s="15">
        <v>34</v>
      </c>
      <c r="G70" s="15">
        <v>165</v>
      </c>
    </row>
    <row r="71" spans="1:7" x14ac:dyDescent="0.3">
      <c r="A71" s="3" t="s">
        <v>1523</v>
      </c>
      <c r="B71" s="15">
        <v>54</v>
      </c>
      <c r="C71" s="15">
        <v>92</v>
      </c>
      <c r="D71" s="15">
        <v>72</v>
      </c>
      <c r="E71" s="15">
        <v>59</v>
      </c>
      <c r="F71" s="15">
        <v>58</v>
      </c>
      <c r="G71" s="15">
        <v>335</v>
      </c>
    </row>
    <row r="72" spans="1:7" x14ac:dyDescent="0.3">
      <c r="A72" s="3" t="s">
        <v>1493</v>
      </c>
      <c r="B72" s="15">
        <v>81</v>
      </c>
      <c r="C72" s="15">
        <v>125</v>
      </c>
      <c r="D72" s="15">
        <v>109</v>
      </c>
      <c r="E72" s="15">
        <v>93</v>
      </c>
      <c r="F72" s="15">
        <v>92</v>
      </c>
      <c r="G72" s="15">
        <v>500</v>
      </c>
    </row>
    <row r="74" spans="1:7" x14ac:dyDescent="0.3">
      <c r="A74" t="s">
        <v>1509</v>
      </c>
    </row>
    <row r="75" spans="1:7" x14ac:dyDescent="0.3">
      <c r="A75">
        <v>500</v>
      </c>
    </row>
    <row r="77" spans="1:7" x14ac:dyDescent="0.3">
      <c r="A77" s="2" t="s">
        <v>1492</v>
      </c>
      <c r="B77" t="s">
        <v>1549</v>
      </c>
    </row>
    <row r="78" spans="1:7" x14ac:dyDescent="0.3">
      <c r="A78" s="3" t="s">
        <v>61</v>
      </c>
      <c r="B78">
        <v>737000.88888888888</v>
      </c>
    </row>
    <row r="79" spans="1:7" x14ac:dyDescent="0.3">
      <c r="A79" s="3" t="s">
        <v>54</v>
      </c>
      <c r="B79">
        <v>705641.96799999999</v>
      </c>
    </row>
    <row r="80" spans="1:7" x14ac:dyDescent="0.3">
      <c r="A80" s="3" t="s">
        <v>22</v>
      </c>
      <c r="B80">
        <v>739549.91743119271</v>
      </c>
    </row>
    <row r="81" spans="1:2" x14ac:dyDescent="0.3">
      <c r="A81" s="3" t="s">
        <v>14</v>
      </c>
      <c r="B81">
        <v>737663.86021505378</v>
      </c>
    </row>
    <row r="82" spans="1:2" x14ac:dyDescent="0.3">
      <c r="A82" s="3" t="s">
        <v>37</v>
      </c>
      <c r="B82">
        <v>641619.36956521741</v>
      </c>
    </row>
    <row r="83" spans="1:2" x14ac:dyDescent="0.3">
      <c r="A83" s="3" t="s">
        <v>1493</v>
      </c>
      <c r="B83">
        <v>712289.96</v>
      </c>
    </row>
  </sheetData>
  <mergeCells count="9">
    <mergeCell ref="A67:B67"/>
    <mergeCell ref="F28:G28"/>
    <mergeCell ref="F21:I21"/>
    <mergeCell ref="A2:B2"/>
    <mergeCell ref="A14:B14"/>
    <mergeCell ref="A23:B23"/>
    <mergeCell ref="A39:B39"/>
    <mergeCell ref="A55:B55"/>
    <mergeCell ref="A61:B61"/>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EB538-D8E1-4F42-B1D7-A1E3F5EDA694}">
  <dimension ref="A1:Z501"/>
  <sheetViews>
    <sheetView topLeftCell="A2" workbookViewId="0">
      <selection activeCell="E16" sqref="A2:Q501"/>
    </sheetView>
  </sheetViews>
  <sheetFormatPr defaultRowHeight="14.4" x14ac:dyDescent="0.3"/>
  <cols>
    <col min="1" max="1" width="12.109375" bestFit="1" customWidth="1"/>
    <col min="2" max="2" width="13.109375" bestFit="1" customWidth="1"/>
    <col min="3" max="3" width="11.109375" bestFit="1" customWidth="1"/>
    <col min="4" max="4" width="14.44140625" bestFit="1" customWidth="1"/>
    <col min="5" max="5" width="9.21875" bestFit="1" customWidth="1"/>
    <col min="6" max="6" width="11.77734375" bestFit="1" customWidth="1"/>
    <col min="7" max="7" width="13.21875" bestFit="1" customWidth="1"/>
    <col min="8" max="8" width="5" bestFit="1" customWidth="1"/>
    <col min="9" max="9" width="10.33203125" bestFit="1" customWidth="1"/>
    <col min="10" max="10" width="6.21875" bestFit="1" customWidth="1"/>
    <col min="11" max="11" width="12.33203125" bestFit="1" customWidth="1"/>
    <col min="12" max="12" width="8.109375" bestFit="1" customWidth="1"/>
    <col min="13" max="13" width="8" bestFit="1" customWidth="1"/>
    <col min="14" max="14" width="18.44140625" bestFit="1" customWidth="1"/>
    <col min="15" max="15" width="9.88671875" bestFit="1" customWidth="1"/>
    <col min="16" max="16" width="13.33203125" bestFit="1" customWidth="1"/>
    <col min="17" max="17" width="22.44140625" bestFit="1" customWidth="1"/>
    <col min="20" max="20" width="17.88671875" bestFit="1" customWidth="1"/>
    <col min="24" max="24" width="12.77734375" bestFit="1" customWidth="1"/>
  </cols>
  <sheetData>
    <row r="1" spans="1:26" x14ac:dyDescent="0.3">
      <c r="A1" t="s">
        <v>0</v>
      </c>
      <c r="B1" t="s">
        <v>1</v>
      </c>
      <c r="C1" t="s">
        <v>2</v>
      </c>
      <c r="D1" t="s">
        <v>3</v>
      </c>
      <c r="E1" t="s">
        <v>4</v>
      </c>
      <c r="F1" t="s">
        <v>5</v>
      </c>
      <c r="G1" t="s">
        <v>1489</v>
      </c>
      <c r="H1" t="s">
        <v>1490</v>
      </c>
      <c r="I1" t="s">
        <v>6</v>
      </c>
      <c r="J1" t="s">
        <v>7</v>
      </c>
      <c r="K1" t="s">
        <v>1491</v>
      </c>
      <c r="L1" t="s">
        <v>1511</v>
      </c>
      <c r="M1" t="s">
        <v>8</v>
      </c>
      <c r="N1" t="s">
        <v>9</v>
      </c>
      <c r="O1" t="s">
        <v>10</v>
      </c>
      <c r="P1" t="s">
        <v>11</v>
      </c>
      <c r="Q1" t="s">
        <v>1513</v>
      </c>
      <c r="T1" t="s">
        <v>9</v>
      </c>
      <c r="X1" t="s">
        <v>11</v>
      </c>
    </row>
    <row r="2" spans="1:26" x14ac:dyDescent="0.3">
      <c r="A2" t="s">
        <v>12</v>
      </c>
      <c r="B2" t="s">
        <v>13</v>
      </c>
      <c r="C2" t="s">
        <v>14</v>
      </c>
      <c r="D2" t="s">
        <v>15</v>
      </c>
      <c r="E2" t="s">
        <v>16</v>
      </c>
      <c r="F2" t="s">
        <v>17</v>
      </c>
      <c r="G2" t="str">
        <f>TEXT(Table1_1[[#This Row],[Joining_Date]],"mmm")</f>
        <v>Apr</v>
      </c>
      <c r="H2" t="str">
        <f>TEXT(Table1_1[[#This Row],[Joining_Date]],"yyyy")</f>
        <v>2018</v>
      </c>
      <c r="I2" s="1">
        <v>44523</v>
      </c>
      <c r="J2" t="s">
        <v>18</v>
      </c>
      <c r="K2">
        <f>IF(Table1_1[[#This Row],[Status]]="Exited",1,0)</f>
        <v>1</v>
      </c>
      <c r="L2">
        <f>IF(Table1_1[[#This Row],[Status]]="Exited",0,1)</f>
        <v>0</v>
      </c>
      <c r="M2">
        <v>1097194</v>
      </c>
      <c r="N2">
        <v>3.6</v>
      </c>
      <c r="O2" t="s">
        <v>19</v>
      </c>
      <c r="P2">
        <v>84.8</v>
      </c>
      <c r="Q2" t="str">
        <f t="shared" ref="Q2:Q65" si="0">IF(AND(N2&gt;4,P2&gt;=75),"High",
 IF(AND(N2&gt;2,N2&lt;=4,P2&gt;40,P2&lt;=74),"Average","Low"))</f>
        <v>Low</v>
      </c>
      <c r="S2" t="str">
        <f>IF(AND(T2&gt;4,X2&gt;=75),"High",
 IF(AND(T2&gt;2,T2&lt;=4,X2&gt;40,X2&lt;=74),"Average","Low"))</f>
        <v>Low</v>
      </c>
      <c r="T2">
        <v>3.6</v>
      </c>
      <c r="U2">
        <f>MAX(T2:T32)</f>
        <v>5</v>
      </c>
      <c r="V2" t="s">
        <v>1514</v>
      </c>
      <c r="X2">
        <v>84.8</v>
      </c>
      <c r="Y2" t="s">
        <v>1521</v>
      </c>
      <c r="Z2" t="s">
        <v>1517</v>
      </c>
    </row>
    <row r="3" spans="1:26" x14ac:dyDescent="0.3">
      <c r="A3" t="s">
        <v>20</v>
      </c>
      <c r="B3" t="s">
        <v>21</v>
      </c>
      <c r="C3" t="s">
        <v>22</v>
      </c>
      <c r="D3" t="s">
        <v>10</v>
      </c>
      <c r="E3" t="s">
        <v>16</v>
      </c>
      <c r="F3" t="s">
        <v>23</v>
      </c>
      <c r="G3" t="str">
        <f>TEXT(Table1_1[[#This Row],[Joining_Date]],"mmm")</f>
        <v>Sep</v>
      </c>
      <c r="H3" t="str">
        <f>TEXT(Table1_1[[#This Row],[Joining_Date]],"yyyy")</f>
        <v>2023</v>
      </c>
      <c r="I3" s="1">
        <v>46056</v>
      </c>
      <c r="J3" t="s">
        <v>18</v>
      </c>
      <c r="K3">
        <f>IF(Table1_1[[#This Row],[Status]]="Exited",1,0)</f>
        <v>1</v>
      </c>
      <c r="L3">
        <f>IF(Table1_1[[#This Row],[Status]]="Exited",0,1)</f>
        <v>0</v>
      </c>
      <c r="M3">
        <v>269845</v>
      </c>
      <c r="N3">
        <v>3.6</v>
      </c>
      <c r="O3" t="s">
        <v>24</v>
      </c>
      <c r="P3">
        <v>91.2</v>
      </c>
      <c r="Q3" t="str">
        <f t="shared" si="0"/>
        <v>Low</v>
      </c>
      <c r="T3">
        <v>2.4</v>
      </c>
      <c r="U3">
        <f>MIN(T2:T32)</f>
        <v>2</v>
      </c>
      <c r="V3" t="s">
        <v>1515</v>
      </c>
      <c r="X3">
        <v>91.2</v>
      </c>
      <c r="Y3" t="s">
        <v>1522</v>
      </c>
      <c r="Z3" t="s">
        <v>1518</v>
      </c>
    </row>
    <row r="4" spans="1:26" x14ac:dyDescent="0.3">
      <c r="A4" t="s">
        <v>25</v>
      </c>
      <c r="B4" t="s">
        <v>26</v>
      </c>
      <c r="C4" t="s">
        <v>14</v>
      </c>
      <c r="D4" t="s">
        <v>15</v>
      </c>
      <c r="E4" t="s">
        <v>27</v>
      </c>
      <c r="F4" t="s">
        <v>28</v>
      </c>
      <c r="G4" t="str">
        <f>TEXT(Table1_1[[#This Row],[Joining_Date]],"mmm")</f>
        <v>Jul</v>
      </c>
      <c r="H4" t="str">
        <f>TEXT(Table1_1[[#This Row],[Joining_Date]],"yyyy")</f>
        <v>2020</v>
      </c>
      <c r="I4" s="1"/>
      <c r="J4" t="s">
        <v>29</v>
      </c>
      <c r="K4">
        <f>IF(Table1_1[[#This Row],[Status]]="Exited",1,0)</f>
        <v>0</v>
      </c>
      <c r="L4">
        <f>IF(Table1_1[[#This Row],[Status]]="Exited",0,1)</f>
        <v>1</v>
      </c>
      <c r="M4">
        <v>940921</v>
      </c>
      <c r="N4">
        <v>2.4</v>
      </c>
      <c r="O4" t="s">
        <v>30</v>
      </c>
      <c r="P4">
        <v>81.099999999999994</v>
      </c>
      <c r="Q4" t="str">
        <f>IF(AND(N4&gt;4,P4&gt;=75),"High",
 IF(AND(N4&gt;2,N4&lt;=4,P4&gt;40,P4&lt;=74),"Average","Low"))</f>
        <v>Low</v>
      </c>
      <c r="T4">
        <v>4.9000000000000004</v>
      </c>
      <c r="V4" t="s">
        <v>1516</v>
      </c>
      <c r="X4">
        <v>81.099999999999994</v>
      </c>
      <c r="Y4" t="s">
        <v>1519</v>
      </c>
      <c r="Z4" t="s">
        <v>1520</v>
      </c>
    </row>
    <row r="5" spans="1:26" x14ac:dyDescent="0.3">
      <c r="A5" t="s">
        <v>31</v>
      </c>
      <c r="B5" t="s">
        <v>32</v>
      </c>
      <c r="C5" t="s">
        <v>22</v>
      </c>
      <c r="D5" t="s">
        <v>33</v>
      </c>
      <c r="E5" t="s">
        <v>27</v>
      </c>
      <c r="F5" t="s">
        <v>34</v>
      </c>
      <c r="G5" t="str">
        <f>TEXT(Table1_1[[#This Row],[Joining_Date]],"mmm")</f>
        <v>Jun</v>
      </c>
      <c r="H5" t="str">
        <f>TEXT(Table1_1[[#This Row],[Joining_Date]],"yyyy")</f>
        <v>2018</v>
      </c>
      <c r="I5" s="1"/>
      <c r="J5" t="s">
        <v>29</v>
      </c>
      <c r="K5">
        <f>IF(Table1_1[[#This Row],[Status]]="Exited",1,0)</f>
        <v>0</v>
      </c>
      <c r="L5">
        <f>IF(Table1_1[[#This Row],[Status]]="Exited",0,1)</f>
        <v>1</v>
      </c>
      <c r="M5">
        <v>776143</v>
      </c>
      <c r="N5">
        <v>4.9000000000000004</v>
      </c>
      <c r="O5" t="s">
        <v>30</v>
      </c>
      <c r="P5">
        <v>81.900000000000006</v>
      </c>
      <c r="Q5" t="str">
        <f t="shared" si="0"/>
        <v>High</v>
      </c>
      <c r="T5">
        <v>4.7</v>
      </c>
      <c r="X5">
        <v>81.900000000000006</v>
      </c>
    </row>
    <row r="6" spans="1:26" x14ac:dyDescent="0.3">
      <c r="A6" t="s">
        <v>35</v>
      </c>
      <c r="B6" t="s">
        <v>36</v>
      </c>
      <c r="C6" t="s">
        <v>37</v>
      </c>
      <c r="D6" t="s">
        <v>33</v>
      </c>
      <c r="E6" t="s">
        <v>27</v>
      </c>
      <c r="F6" t="s">
        <v>38</v>
      </c>
      <c r="G6" t="str">
        <f>TEXT(Table1_1[[#This Row],[Joining_Date]],"mmm")</f>
        <v>Apr</v>
      </c>
      <c r="H6" t="str">
        <f>TEXT(Table1_1[[#This Row],[Joining_Date]],"yyyy")</f>
        <v>2018</v>
      </c>
      <c r="I6" s="1"/>
      <c r="J6" t="s">
        <v>29</v>
      </c>
      <c r="K6">
        <f>IF(Table1_1[[#This Row],[Status]]="Exited",1,0)</f>
        <v>0</v>
      </c>
      <c r="L6">
        <f>IF(Table1_1[[#This Row],[Status]]="Exited",0,1)</f>
        <v>1</v>
      </c>
      <c r="M6">
        <v>257947</v>
      </c>
      <c r="N6">
        <v>4.7</v>
      </c>
      <c r="O6" t="s">
        <v>30</v>
      </c>
      <c r="P6">
        <v>82</v>
      </c>
      <c r="Q6" t="str">
        <f t="shared" si="0"/>
        <v>High</v>
      </c>
      <c r="T6">
        <v>3.3</v>
      </c>
      <c r="X6">
        <v>82</v>
      </c>
    </row>
    <row r="7" spans="1:26" x14ac:dyDescent="0.3">
      <c r="A7" t="s">
        <v>39</v>
      </c>
      <c r="B7" t="s">
        <v>40</v>
      </c>
      <c r="C7" t="s">
        <v>37</v>
      </c>
      <c r="D7" t="s">
        <v>15</v>
      </c>
      <c r="E7" t="s">
        <v>27</v>
      </c>
      <c r="F7" t="s">
        <v>41</v>
      </c>
      <c r="G7" t="str">
        <f>TEXT(Table1_1[[#This Row],[Joining_Date]],"mmm")</f>
        <v>Aug</v>
      </c>
      <c r="H7" t="str">
        <f>TEXT(Table1_1[[#This Row],[Joining_Date]],"yyyy")</f>
        <v>2024</v>
      </c>
      <c r="I7" s="1"/>
      <c r="J7" t="s">
        <v>29</v>
      </c>
      <c r="K7">
        <f>IF(Table1_1[[#This Row],[Status]]="Exited",1,0)</f>
        <v>0</v>
      </c>
      <c r="L7">
        <f>IF(Table1_1[[#This Row],[Status]]="Exited",0,1)</f>
        <v>1</v>
      </c>
      <c r="M7">
        <v>566222</v>
      </c>
      <c r="N7">
        <v>3.3</v>
      </c>
      <c r="O7" t="s">
        <v>42</v>
      </c>
      <c r="P7">
        <v>75</v>
      </c>
      <c r="Q7" t="str">
        <f t="shared" si="0"/>
        <v>Low</v>
      </c>
      <c r="T7">
        <v>2.9</v>
      </c>
      <c r="X7">
        <v>75</v>
      </c>
    </row>
    <row r="8" spans="1:26" x14ac:dyDescent="0.3">
      <c r="A8" t="s">
        <v>43</v>
      </c>
      <c r="B8" t="s">
        <v>44</v>
      </c>
      <c r="C8" t="s">
        <v>37</v>
      </c>
      <c r="D8" t="s">
        <v>10</v>
      </c>
      <c r="E8" t="s">
        <v>45</v>
      </c>
      <c r="F8" t="s">
        <v>46</v>
      </c>
      <c r="G8" t="str">
        <f>TEXT(Table1_1[[#This Row],[Joining_Date]],"mmm")</f>
        <v>Sep</v>
      </c>
      <c r="H8" t="str">
        <f>TEXT(Table1_1[[#This Row],[Joining_Date]],"yyyy")</f>
        <v>2023</v>
      </c>
      <c r="I8" s="1">
        <v>45884</v>
      </c>
      <c r="J8" t="s">
        <v>18</v>
      </c>
      <c r="K8">
        <f>IF(Table1_1[[#This Row],[Status]]="Exited",1,0)</f>
        <v>1</v>
      </c>
      <c r="L8">
        <f>IF(Table1_1[[#This Row],[Status]]="Exited",0,1)</f>
        <v>0</v>
      </c>
      <c r="M8">
        <v>1069012</v>
      </c>
      <c r="N8">
        <v>2.9</v>
      </c>
      <c r="O8" t="s">
        <v>42</v>
      </c>
      <c r="P8">
        <v>86.3</v>
      </c>
      <c r="Q8" t="str">
        <f t="shared" si="0"/>
        <v>Low</v>
      </c>
      <c r="T8">
        <v>3.7</v>
      </c>
      <c r="X8">
        <v>86.3</v>
      </c>
    </row>
    <row r="9" spans="1:26" x14ac:dyDescent="0.3">
      <c r="A9" t="s">
        <v>47</v>
      </c>
      <c r="B9" t="s">
        <v>48</v>
      </c>
      <c r="C9" t="s">
        <v>22</v>
      </c>
      <c r="D9" t="s">
        <v>49</v>
      </c>
      <c r="E9" t="s">
        <v>50</v>
      </c>
      <c r="F9" t="s">
        <v>51</v>
      </c>
      <c r="G9" t="str">
        <f>TEXT(Table1_1[[#This Row],[Joining_Date]],"mmm")</f>
        <v>Sep</v>
      </c>
      <c r="H9" t="str">
        <f>TEXT(Table1_1[[#This Row],[Joining_Date]],"yyyy")</f>
        <v>2018</v>
      </c>
      <c r="I9" s="1"/>
      <c r="J9" t="s">
        <v>29</v>
      </c>
      <c r="K9">
        <f>IF(Table1_1[[#This Row],[Status]]="Exited",1,0)</f>
        <v>0</v>
      </c>
      <c r="L9">
        <f>IF(Table1_1[[#This Row],[Status]]="Exited",0,1)</f>
        <v>1</v>
      </c>
      <c r="M9">
        <v>920186</v>
      </c>
      <c r="N9">
        <v>3.7</v>
      </c>
      <c r="O9" t="s">
        <v>30</v>
      </c>
      <c r="P9">
        <v>87.1</v>
      </c>
      <c r="Q9" t="str">
        <f t="shared" si="0"/>
        <v>Low</v>
      </c>
      <c r="T9">
        <v>4.8</v>
      </c>
      <c r="X9">
        <v>87.1</v>
      </c>
    </row>
    <row r="10" spans="1:26" x14ac:dyDescent="0.3">
      <c r="A10" t="s">
        <v>52</v>
      </c>
      <c r="B10" t="s">
        <v>53</v>
      </c>
      <c r="C10" t="s">
        <v>54</v>
      </c>
      <c r="D10" t="s">
        <v>33</v>
      </c>
      <c r="E10" t="s">
        <v>16</v>
      </c>
      <c r="F10" t="s">
        <v>55</v>
      </c>
      <c r="G10" t="str">
        <f>TEXT(Table1_1[[#This Row],[Joining_Date]],"mmm")</f>
        <v>Dec</v>
      </c>
      <c r="H10" t="str">
        <f>TEXT(Table1_1[[#This Row],[Joining_Date]],"yyyy")</f>
        <v>2019</v>
      </c>
      <c r="I10" s="1"/>
      <c r="J10" t="s">
        <v>29</v>
      </c>
      <c r="K10">
        <f>IF(Table1_1[[#This Row],[Status]]="Exited",1,0)</f>
        <v>0</v>
      </c>
      <c r="L10">
        <f>IF(Table1_1[[#This Row],[Status]]="Exited",0,1)</f>
        <v>1</v>
      </c>
      <c r="M10">
        <v>731613</v>
      </c>
      <c r="N10">
        <v>4.8</v>
      </c>
      <c r="O10" t="s">
        <v>30</v>
      </c>
      <c r="P10">
        <v>85.8</v>
      </c>
      <c r="Q10" t="str">
        <f t="shared" si="0"/>
        <v>High</v>
      </c>
      <c r="T10">
        <v>3.5</v>
      </c>
      <c r="X10">
        <v>85.8</v>
      </c>
    </row>
    <row r="11" spans="1:26" x14ac:dyDescent="0.3">
      <c r="A11" t="s">
        <v>56</v>
      </c>
      <c r="B11" t="s">
        <v>57</v>
      </c>
      <c r="C11" t="s">
        <v>37</v>
      </c>
      <c r="D11" t="s">
        <v>49</v>
      </c>
      <c r="E11" t="s">
        <v>27</v>
      </c>
      <c r="F11" t="s">
        <v>58</v>
      </c>
      <c r="G11" t="str">
        <f>TEXT(Table1_1[[#This Row],[Joining_Date]],"mmm")</f>
        <v>Feb</v>
      </c>
      <c r="H11" t="str">
        <f>TEXT(Table1_1[[#This Row],[Joining_Date]],"yyyy")</f>
        <v>2019</v>
      </c>
      <c r="I11" s="1"/>
      <c r="J11" t="s">
        <v>29</v>
      </c>
      <c r="K11">
        <f>IF(Table1_1[[#This Row],[Status]]="Exited",1,0)</f>
        <v>0</v>
      </c>
      <c r="L11">
        <f>IF(Table1_1[[#This Row],[Status]]="Exited",0,1)</f>
        <v>1</v>
      </c>
      <c r="M11">
        <v>714786</v>
      </c>
      <c r="N11">
        <v>4.9000000000000004</v>
      </c>
      <c r="O11" t="s">
        <v>42</v>
      </c>
      <c r="P11">
        <v>76.400000000000006</v>
      </c>
      <c r="Q11" t="str">
        <f t="shared" si="0"/>
        <v>High</v>
      </c>
      <c r="T11">
        <v>3.2</v>
      </c>
      <c r="X11">
        <v>76.400000000000006</v>
      </c>
    </row>
    <row r="12" spans="1:26" x14ac:dyDescent="0.3">
      <c r="A12" t="s">
        <v>59</v>
      </c>
      <c r="B12" t="s">
        <v>60</v>
      </c>
      <c r="C12" t="s">
        <v>61</v>
      </c>
      <c r="D12" t="s">
        <v>49</v>
      </c>
      <c r="E12" t="s">
        <v>27</v>
      </c>
      <c r="F12" t="s">
        <v>62</v>
      </c>
      <c r="G12" t="str">
        <f>TEXT(Table1_1[[#This Row],[Joining_Date]],"mmm")</f>
        <v>Sep</v>
      </c>
      <c r="H12" t="str">
        <f>TEXT(Table1_1[[#This Row],[Joining_Date]],"yyyy")</f>
        <v>2018</v>
      </c>
      <c r="I12" s="1"/>
      <c r="J12" t="s">
        <v>29</v>
      </c>
      <c r="K12">
        <f>IF(Table1_1[[#This Row],[Status]]="Exited",1,0)</f>
        <v>0</v>
      </c>
      <c r="L12">
        <f>IF(Table1_1[[#This Row],[Status]]="Exited",0,1)</f>
        <v>1</v>
      </c>
      <c r="M12">
        <v>771857</v>
      </c>
      <c r="N12">
        <v>3.5</v>
      </c>
      <c r="O12" t="s">
        <v>42</v>
      </c>
      <c r="P12">
        <v>84.2</v>
      </c>
      <c r="Q12" t="str">
        <f t="shared" si="0"/>
        <v>Low</v>
      </c>
      <c r="T12">
        <v>2.5</v>
      </c>
      <c r="X12">
        <v>84.2</v>
      </c>
    </row>
    <row r="13" spans="1:26" x14ac:dyDescent="0.3">
      <c r="A13" t="s">
        <v>63</v>
      </c>
      <c r="B13" t="s">
        <v>64</v>
      </c>
      <c r="C13" t="s">
        <v>22</v>
      </c>
      <c r="D13" t="s">
        <v>33</v>
      </c>
      <c r="E13" t="s">
        <v>45</v>
      </c>
      <c r="F13" t="s">
        <v>65</v>
      </c>
      <c r="G13" t="str">
        <f>TEXT(Table1_1[[#This Row],[Joining_Date]],"mmm")</f>
        <v>Oct</v>
      </c>
      <c r="H13" t="str">
        <f>TEXT(Table1_1[[#This Row],[Joining_Date]],"yyyy")</f>
        <v>2018</v>
      </c>
      <c r="I13" s="1"/>
      <c r="J13" t="s">
        <v>29</v>
      </c>
      <c r="K13">
        <f>IF(Table1_1[[#This Row],[Status]]="Exited",1,0)</f>
        <v>0</v>
      </c>
      <c r="L13">
        <f>IF(Table1_1[[#This Row],[Status]]="Exited",0,1)</f>
        <v>1</v>
      </c>
      <c r="M13">
        <v>1017999</v>
      </c>
      <c r="N13">
        <v>2.4</v>
      </c>
      <c r="O13" t="s">
        <v>42</v>
      </c>
      <c r="P13">
        <v>87.6</v>
      </c>
      <c r="Q13" t="str">
        <f t="shared" si="0"/>
        <v>Low</v>
      </c>
      <c r="T13">
        <v>3.4</v>
      </c>
      <c r="X13">
        <v>87.6</v>
      </c>
    </row>
    <row r="14" spans="1:26" x14ac:dyDescent="0.3">
      <c r="A14" t="s">
        <v>66</v>
      </c>
      <c r="B14" t="s">
        <v>67</v>
      </c>
      <c r="C14" t="s">
        <v>14</v>
      </c>
      <c r="D14" t="s">
        <v>49</v>
      </c>
      <c r="E14" t="s">
        <v>50</v>
      </c>
      <c r="F14" t="s">
        <v>68</v>
      </c>
      <c r="G14" t="str">
        <f>TEXT(Table1_1[[#This Row],[Joining_Date]],"mmm")</f>
        <v>Mar</v>
      </c>
      <c r="H14" t="str">
        <f>TEXT(Table1_1[[#This Row],[Joining_Date]],"yyyy")</f>
        <v>2019</v>
      </c>
      <c r="I14" s="1"/>
      <c r="J14" t="s">
        <v>29</v>
      </c>
      <c r="K14">
        <f>IF(Table1_1[[#This Row],[Status]]="Exited",1,0)</f>
        <v>0</v>
      </c>
      <c r="L14">
        <f>IF(Table1_1[[#This Row],[Status]]="Exited",0,1)</f>
        <v>1</v>
      </c>
      <c r="M14">
        <v>220169</v>
      </c>
      <c r="N14">
        <v>3.3</v>
      </c>
      <c r="O14" t="s">
        <v>42</v>
      </c>
      <c r="P14">
        <v>77.7</v>
      </c>
      <c r="Q14" t="str">
        <f t="shared" si="0"/>
        <v>Low</v>
      </c>
      <c r="T14">
        <v>4.5999999999999996</v>
      </c>
      <c r="X14">
        <v>77.7</v>
      </c>
    </row>
    <row r="15" spans="1:26" x14ac:dyDescent="0.3">
      <c r="A15" t="s">
        <v>69</v>
      </c>
      <c r="B15" t="s">
        <v>70</v>
      </c>
      <c r="C15" t="s">
        <v>14</v>
      </c>
      <c r="D15" t="s">
        <v>49</v>
      </c>
      <c r="E15" t="s">
        <v>27</v>
      </c>
      <c r="F15" t="s">
        <v>71</v>
      </c>
      <c r="G15" t="str">
        <f>TEXT(Table1_1[[#This Row],[Joining_Date]],"mmm")</f>
        <v>Mar</v>
      </c>
      <c r="H15" t="str">
        <f>TEXT(Table1_1[[#This Row],[Joining_Date]],"yyyy")</f>
        <v>2022</v>
      </c>
      <c r="I15" s="1">
        <v>45880</v>
      </c>
      <c r="J15" t="s">
        <v>18</v>
      </c>
      <c r="K15">
        <f>IF(Table1_1[[#This Row],[Status]]="Exited",1,0)</f>
        <v>1</v>
      </c>
      <c r="L15">
        <f>IF(Table1_1[[#This Row],[Status]]="Exited",0,1)</f>
        <v>0</v>
      </c>
      <c r="M15">
        <v>315950</v>
      </c>
      <c r="N15">
        <v>3.2</v>
      </c>
      <c r="O15" t="s">
        <v>19</v>
      </c>
      <c r="P15">
        <v>95.4</v>
      </c>
      <c r="Q15" t="str">
        <f t="shared" si="0"/>
        <v>Low</v>
      </c>
      <c r="T15">
        <v>2.1</v>
      </c>
      <c r="X15">
        <v>95.4</v>
      </c>
    </row>
    <row r="16" spans="1:26" x14ac:dyDescent="0.3">
      <c r="A16" t="s">
        <v>72</v>
      </c>
      <c r="B16" t="s">
        <v>73</v>
      </c>
      <c r="C16" t="s">
        <v>22</v>
      </c>
      <c r="D16" t="s">
        <v>10</v>
      </c>
      <c r="E16" t="s">
        <v>27</v>
      </c>
      <c r="F16" t="s">
        <v>74</v>
      </c>
      <c r="G16" t="str">
        <f>TEXT(Table1_1[[#This Row],[Joining_Date]],"mmm")</f>
        <v>Dec</v>
      </c>
      <c r="H16" t="str">
        <f>TEXT(Table1_1[[#This Row],[Joining_Date]],"yyyy")</f>
        <v>2018</v>
      </c>
      <c r="I16" s="1"/>
      <c r="J16" t="s">
        <v>29</v>
      </c>
      <c r="K16">
        <f>IF(Table1_1[[#This Row],[Status]]="Exited",1,0)</f>
        <v>0</v>
      </c>
      <c r="L16">
        <f>IF(Table1_1[[#This Row],[Status]]="Exited",0,1)</f>
        <v>1</v>
      </c>
      <c r="M16">
        <v>1045488</v>
      </c>
      <c r="N16">
        <v>2.5</v>
      </c>
      <c r="O16" t="s">
        <v>42</v>
      </c>
      <c r="P16">
        <v>91.4</v>
      </c>
      <c r="Q16" t="str">
        <f t="shared" si="0"/>
        <v>Low</v>
      </c>
      <c r="T16">
        <v>4.4000000000000004</v>
      </c>
      <c r="X16">
        <v>91.4</v>
      </c>
    </row>
    <row r="17" spans="1:24" x14ac:dyDescent="0.3">
      <c r="A17" t="s">
        <v>75</v>
      </c>
      <c r="B17" t="s">
        <v>76</v>
      </c>
      <c r="C17" t="s">
        <v>61</v>
      </c>
      <c r="D17" t="s">
        <v>49</v>
      </c>
      <c r="E17" t="s">
        <v>16</v>
      </c>
      <c r="F17" t="s">
        <v>77</v>
      </c>
      <c r="G17" t="str">
        <f>TEXT(Table1_1[[#This Row],[Joining_Date]],"mmm")</f>
        <v>Jul</v>
      </c>
      <c r="H17" t="str">
        <f>TEXT(Table1_1[[#This Row],[Joining_Date]],"yyyy")</f>
        <v>2018</v>
      </c>
      <c r="I17" s="1"/>
      <c r="J17" t="s">
        <v>29</v>
      </c>
      <c r="K17">
        <f>IF(Table1_1[[#This Row],[Status]]="Exited",1,0)</f>
        <v>0</v>
      </c>
      <c r="L17">
        <f>IF(Table1_1[[#This Row],[Status]]="Exited",0,1)</f>
        <v>1</v>
      </c>
      <c r="M17">
        <v>786178</v>
      </c>
      <c r="N17">
        <v>3.5</v>
      </c>
      <c r="O17" t="s">
        <v>42</v>
      </c>
      <c r="P17">
        <v>77.400000000000006</v>
      </c>
      <c r="Q17" t="str">
        <f t="shared" si="0"/>
        <v>Low</v>
      </c>
      <c r="T17">
        <v>2.7</v>
      </c>
      <c r="X17">
        <v>77.400000000000006</v>
      </c>
    </row>
    <row r="18" spans="1:24" x14ac:dyDescent="0.3">
      <c r="A18" t="s">
        <v>78</v>
      </c>
      <c r="B18" t="s">
        <v>79</v>
      </c>
      <c r="C18" t="s">
        <v>61</v>
      </c>
      <c r="D18" t="s">
        <v>49</v>
      </c>
      <c r="E18" t="s">
        <v>27</v>
      </c>
      <c r="F18" t="s">
        <v>80</v>
      </c>
      <c r="G18" t="str">
        <f>TEXT(Table1_1[[#This Row],[Joining_Date]],"mmm")</f>
        <v>May</v>
      </c>
      <c r="H18" t="str">
        <f>TEXT(Table1_1[[#This Row],[Joining_Date]],"yyyy")</f>
        <v>2024</v>
      </c>
      <c r="I18" s="1">
        <v>46876</v>
      </c>
      <c r="J18" t="s">
        <v>18</v>
      </c>
      <c r="K18">
        <f>IF(Table1_1[[#This Row],[Status]]="Exited",1,0)</f>
        <v>1</v>
      </c>
      <c r="L18">
        <f>IF(Table1_1[[#This Row],[Status]]="Exited",0,1)</f>
        <v>0</v>
      </c>
      <c r="M18">
        <v>515475</v>
      </c>
      <c r="N18">
        <v>3.5</v>
      </c>
      <c r="O18" t="s">
        <v>24</v>
      </c>
      <c r="P18">
        <v>83.8</v>
      </c>
      <c r="Q18" t="str">
        <f t="shared" si="0"/>
        <v>Low</v>
      </c>
      <c r="T18">
        <v>4.5</v>
      </c>
      <c r="X18">
        <v>83.8</v>
      </c>
    </row>
    <row r="19" spans="1:24" x14ac:dyDescent="0.3">
      <c r="A19" t="s">
        <v>81</v>
      </c>
      <c r="B19" t="s">
        <v>82</v>
      </c>
      <c r="C19" t="s">
        <v>22</v>
      </c>
      <c r="D19" t="s">
        <v>49</v>
      </c>
      <c r="E19" t="s">
        <v>16</v>
      </c>
      <c r="F19" t="s">
        <v>83</v>
      </c>
      <c r="G19" t="str">
        <f>TEXT(Table1_1[[#This Row],[Joining_Date]],"mmm")</f>
        <v>Dec</v>
      </c>
      <c r="H19" t="str">
        <f>TEXT(Table1_1[[#This Row],[Joining_Date]],"yyyy")</f>
        <v>2021</v>
      </c>
      <c r="I19" s="1">
        <v>45043</v>
      </c>
      <c r="J19" t="s">
        <v>18</v>
      </c>
      <c r="K19">
        <f>IF(Table1_1[[#This Row],[Status]]="Exited",1,0)</f>
        <v>1</v>
      </c>
      <c r="L19">
        <f>IF(Table1_1[[#This Row],[Status]]="Exited",0,1)</f>
        <v>0</v>
      </c>
      <c r="M19">
        <v>403143</v>
      </c>
      <c r="N19">
        <v>3.4</v>
      </c>
      <c r="O19" t="s">
        <v>42</v>
      </c>
      <c r="P19">
        <v>75.099999999999994</v>
      </c>
      <c r="Q19" t="str">
        <f t="shared" si="0"/>
        <v>Low</v>
      </c>
      <c r="T19">
        <v>2.2000000000000002</v>
      </c>
      <c r="X19">
        <v>75.099999999999994</v>
      </c>
    </row>
    <row r="20" spans="1:24" x14ac:dyDescent="0.3">
      <c r="A20" t="s">
        <v>84</v>
      </c>
      <c r="B20" t="s">
        <v>85</v>
      </c>
      <c r="C20" t="s">
        <v>22</v>
      </c>
      <c r="D20" t="s">
        <v>15</v>
      </c>
      <c r="E20" t="s">
        <v>16</v>
      </c>
      <c r="F20" t="s">
        <v>86</v>
      </c>
      <c r="G20" t="str">
        <f>TEXT(Table1_1[[#This Row],[Joining_Date]],"mmm")</f>
        <v>May</v>
      </c>
      <c r="H20" t="str">
        <f>TEXT(Table1_1[[#This Row],[Joining_Date]],"yyyy")</f>
        <v>2019</v>
      </c>
      <c r="I20" s="1">
        <v>43841</v>
      </c>
      <c r="J20" t="s">
        <v>18</v>
      </c>
      <c r="K20">
        <f>IF(Table1_1[[#This Row],[Status]]="Exited",1,0)</f>
        <v>1</v>
      </c>
      <c r="L20">
        <f>IF(Table1_1[[#This Row],[Status]]="Exited",0,1)</f>
        <v>0</v>
      </c>
      <c r="M20">
        <v>475080</v>
      </c>
      <c r="N20">
        <v>4.5999999999999996</v>
      </c>
      <c r="O20" t="s">
        <v>42</v>
      </c>
      <c r="P20">
        <v>97.8</v>
      </c>
      <c r="Q20" t="str">
        <f t="shared" si="0"/>
        <v>High</v>
      </c>
      <c r="T20">
        <v>3.9</v>
      </c>
      <c r="X20">
        <v>97.8</v>
      </c>
    </row>
    <row r="21" spans="1:24" x14ac:dyDescent="0.3">
      <c r="A21" t="s">
        <v>87</v>
      </c>
      <c r="B21" t="s">
        <v>88</v>
      </c>
      <c r="C21" t="s">
        <v>54</v>
      </c>
      <c r="D21" t="s">
        <v>10</v>
      </c>
      <c r="E21" t="s">
        <v>27</v>
      </c>
      <c r="F21" t="s">
        <v>89</v>
      </c>
      <c r="G21" t="str">
        <f>TEXT(Table1_1[[#This Row],[Joining_Date]],"mmm")</f>
        <v>Sep</v>
      </c>
      <c r="H21" t="str">
        <f>TEXT(Table1_1[[#This Row],[Joining_Date]],"yyyy")</f>
        <v>2018</v>
      </c>
      <c r="I21" s="1">
        <v>44654</v>
      </c>
      <c r="J21" t="s">
        <v>18</v>
      </c>
      <c r="K21">
        <f>IF(Table1_1[[#This Row],[Status]]="Exited",1,0)</f>
        <v>1</v>
      </c>
      <c r="L21">
        <f>IF(Table1_1[[#This Row],[Status]]="Exited",0,1)</f>
        <v>0</v>
      </c>
      <c r="M21">
        <v>338549</v>
      </c>
      <c r="N21">
        <v>2.1</v>
      </c>
      <c r="O21" t="s">
        <v>30</v>
      </c>
      <c r="P21">
        <v>79.900000000000006</v>
      </c>
      <c r="Q21" t="str">
        <f t="shared" si="0"/>
        <v>Low</v>
      </c>
      <c r="T21">
        <v>2.2999999999999998</v>
      </c>
      <c r="X21">
        <v>79.900000000000006</v>
      </c>
    </row>
    <row r="22" spans="1:24" x14ac:dyDescent="0.3">
      <c r="A22" t="s">
        <v>91</v>
      </c>
      <c r="B22" t="s">
        <v>92</v>
      </c>
      <c r="C22" t="s">
        <v>14</v>
      </c>
      <c r="D22" t="s">
        <v>33</v>
      </c>
      <c r="E22" t="s">
        <v>50</v>
      </c>
      <c r="F22" t="s">
        <v>93</v>
      </c>
      <c r="G22" t="str">
        <f>TEXT(Table1_1[[#This Row],[Joining_Date]],"mmm")</f>
        <v>Aug</v>
      </c>
      <c r="H22" t="str">
        <f>TEXT(Table1_1[[#This Row],[Joining_Date]],"yyyy")</f>
        <v>2024</v>
      </c>
      <c r="I22" s="1"/>
      <c r="J22" t="s">
        <v>29</v>
      </c>
      <c r="K22">
        <f>IF(Table1_1[[#This Row],[Status]]="Exited",1,0)</f>
        <v>0</v>
      </c>
      <c r="L22">
        <f>IF(Table1_1[[#This Row],[Status]]="Exited",0,1)</f>
        <v>1</v>
      </c>
      <c r="M22">
        <v>614309</v>
      </c>
      <c r="N22">
        <v>4.4000000000000004</v>
      </c>
      <c r="O22" t="s">
        <v>30</v>
      </c>
      <c r="P22">
        <v>79.8</v>
      </c>
      <c r="Q22" t="str">
        <f t="shared" si="0"/>
        <v>High</v>
      </c>
      <c r="T22">
        <v>2.8</v>
      </c>
      <c r="X22">
        <v>79.8</v>
      </c>
    </row>
    <row r="23" spans="1:24" x14ac:dyDescent="0.3">
      <c r="A23" t="s">
        <v>94</v>
      </c>
      <c r="B23" t="s">
        <v>95</v>
      </c>
      <c r="C23" t="s">
        <v>14</v>
      </c>
      <c r="D23" t="s">
        <v>15</v>
      </c>
      <c r="E23" t="s">
        <v>16</v>
      </c>
      <c r="F23" t="s">
        <v>96</v>
      </c>
      <c r="G23" t="str">
        <f>TEXT(Table1_1[[#This Row],[Joining_Date]],"mmm")</f>
        <v>Aug</v>
      </c>
      <c r="H23" t="str">
        <f>TEXT(Table1_1[[#This Row],[Joining_Date]],"yyyy")</f>
        <v>2024</v>
      </c>
      <c r="I23" s="1"/>
      <c r="J23" t="s">
        <v>29</v>
      </c>
      <c r="K23">
        <f>IF(Table1_1[[#This Row],[Status]]="Exited",1,0)</f>
        <v>0</v>
      </c>
      <c r="L23">
        <f>IF(Table1_1[[#This Row],[Status]]="Exited",0,1)</f>
        <v>1</v>
      </c>
      <c r="M23">
        <v>893780</v>
      </c>
      <c r="N23">
        <v>2.7</v>
      </c>
      <c r="O23" t="s">
        <v>24</v>
      </c>
      <c r="P23">
        <v>87.7</v>
      </c>
      <c r="Q23" t="str">
        <f t="shared" si="0"/>
        <v>Low</v>
      </c>
      <c r="T23">
        <v>5</v>
      </c>
      <c r="X23">
        <v>87.7</v>
      </c>
    </row>
    <row r="24" spans="1:24" x14ac:dyDescent="0.3">
      <c r="A24" t="s">
        <v>97</v>
      </c>
      <c r="B24" t="s">
        <v>98</v>
      </c>
      <c r="C24" t="s">
        <v>61</v>
      </c>
      <c r="D24" t="s">
        <v>49</v>
      </c>
      <c r="E24" t="s">
        <v>45</v>
      </c>
      <c r="F24" t="s">
        <v>99</v>
      </c>
      <c r="G24" t="str">
        <f>TEXT(Table1_1[[#This Row],[Joining_Date]],"mmm")</f>
        <v>Jan</v>
      </c>
      <c r="H24" t="str">
        <f>TEXT(Table1_1[[#This Row],[Joining_Date]],"yyyy")</f>
        <v>2023</v>
      </c>
      <c r="I24" s="1">
        <v>45866</v>
      </c>
      <c r="J24" t="s">
        <v>18</v>
      </c>
      <c r="K24">
        <f>IF(Table1_1[[#This Row],[Status]]="Exited",1,0)</f>
        <v>1</v>
      </c>
      <c r="L24">
        <f>IF(Table1_1[[#This Row],[Status]]="Exited",0,1)</f>
        <v>0</v>
      </c>
      <c r="M24">
        <v>474058</v>
      </c>
      <c r="N24">
        <v>4.5</v>
      </c>
      <c r="O24" t="s">
        <v>42</v>
      </c>
      <c r="P24">
        <v>92.6</v>
      </c>
      <c r="Q24" t="str">
        <f t="shared" si="0"/>
        <v>High</v>
      </c>
      <c r="T24">
        <v>4.3</v>
      </c>
      <c r="X24">
        <v>92.6</v>
      </c>
    </row>
    <row r="25" spans="1:24" x14ac:dyDescent="0.3">
      <c r="A25" t="s">
        <v>100</v>
      </c>
      <c r="B25" t="s">
        <v>101</v>
      </c>
      <c r="C25" t="s">
        <v>22</v>
      </c>
      <c r="D25" t="s">
        <v>15</v>
      </c>
      <c r="E25" t="s">
        <v>27</v>
      </c>
      <c r="F25" t="s">
        <v>102</v>
      </c>
      <c r="G25" t="str">
        <f>TEXT(Table1_1[[#This Row],[Joining_Date]],"mmm")</f>
        <v>Jul</v>
      </c>
      <c r="H25" t="str">
        <f>TEXT(Table1_1[[#This Row],[Joining_Date]],"yyyy")</f>
        <v>2020</v>
      </c>
      <c r="I25" s="1"/>
      <c r="J25" t="s">
        <v>29</v>
      </c>
      <c r="K25">
        <f>IF(Table1_1[[#This Row],[Status]]="Exited",1,0)</f>
        <v>0</v>
      </c>
      <c r="L25">
        <f>IF(Table1_1[[#This Row],[Status]]="Exited",0,1)</f>
        <v>1</v>
      </c>
      <c r="M25">
        <v>967771</v>
      </c>
      <c r="N25">
        <v>3.6</v>
      </c>
      <c r="O25" t="s">
        <v>42</v>
      </c>
      <c r="P25">
        <v>80.099999999999994</v>
      </c>
      <c r="Q25" t="str">
        <f t="shared" si="0"/>
        <v>Low</v>
      </c>
      <c r="T25">
        <v>4.0999999999999996</v>
      </c>
      <c r="X25">
        <v>80.099999999999994</v>
      </c>
    </row>
    <row r="26" spans="1:24" x14ac:dyDescent="0.3">
      <c r="A26" t="s">
        <v>103</v>
      </c>
      <c r="B26" t="s">
        <v>104</v>
      </c>
      <c r="C26" t="s">
        <v>54</v>
      </c>
      <c r="D26" t="s">
        <v>33</v>
      </c>
      <c r="E26" t="s">
        <v>27</v>
      </c>
      <c r="F26" t="s">
        <v>105</v>
      </c>
      <c r="G26" t="str">
        <f>TEXT(Table1_1[[#This Row],[Joining_Date]],"mmm")</f>
        <v>Jun</v>
      </c>
      <c r="H26" t="str">
        <f>TEXT(Table1_1[[#This Row],[Joining_Date]],"yyyy")</f>
        <v>2020</v>
      </c>
      <c r="I26" s="1">
        <v>44027</v>
      </c>
      <c r="J26" t="s">
        <v>18</v>
      </c>
      <c r="K26">
        <f>IF(Table1_1[[#This Row],[Status]]="Exited",1,0)</f>
        <v>1</v>
      </c>
      <c r="L26">
        <f>IF(Table1_1[[#This Row],[Status]]="Exited",0,1)</f>
        <v>0</v>
      </c>
      <c r="M26">
        <v>462719</v>
      </c>
      <c r="N26">
        <v>2.4</v>
      </c>
      <c r="O26" t="s">
        <v>42</v>
      </c>
      <c r="P26">
        <v>96.6</v>
      </c>
      <c r="Q26" t="str">
        <f t="shared" si="0"/>
        <v>Low</v>
      </c>
      <c r="T26">
        <v>2</v>
      </c>
      <c r="X26">
        <v>96.6</v>
      </c>
    </row>
    <row r="27" spans="1:24" x14ac:dyDescent="0.3">
      <c r="A27" t="s">
        <v>107</v>
      </c>
      <c r="B27" t="s">
        <v>108</v>
      </c>
      <c r="C27" t="s">
        <v>37</v>
      </c>
      <c r="D27" t="s">
        <v>49</v>
      </c>
      <c r="E27" t="s">
        <v>16</v>
      </c>
      <c r="F27" t="s">
        <v>109</v>
      </c>
      <c r="G27" t="str">
        <f>TEXT(Table1_1[[#This Row],[Joining_Date]],"mmm")</f>
        <v>Jun</v>
      </c>
      <c r="H27" t="str">
        <f>TEXT(Table1_1[[#This Row],[Joining_Date]],"yyyy")</f>
        <v>2022</v>
      </c>
      <c r="I27" s="1">
        <v>44799</v>
      </c>
      <c r="J27" t="s">
        <v>18</v>
      </c>
      <c r="K27">
        <f>IF(Table1_1[[#This Row],[Status]]="Exited",1,0)</f>
        <v>1</v>
      </c>
      <c r="L27">
        <f>IF(Table1_1[[#This Row],[Status]]="Exited",0,1)</f>
        <v>0</v>
      </c>
      <c r="M27">
        <v>330780</v>
      </c>
      <c r="N27">
        <v>2.2000000000000002</v>
      </c>
      <c r="O27" t="s">
        <v>30</v>
      </c>
      <c r="P27">
        <v>95.9</v>
      </c>
      <c r="Q27" t="str">
        <f t="shared" si="0"/>
        <v>Low</v>
      </c>
      <c r="T27">
        <v>3.1</v>
      </c>
      <c r="X27">
        <v>95.9</v>
      </c>
    </row>
    <row r="28" spans="1:24" x14ac:dyDescent="0.3">
      <c r="A28" t="s">
        <v>110</v>
      </c>
      <c r="B28" t="s">
        <v>111</v>
      </c>
      <c r="C28" t="s">
        <v>37</v>
      </c>
      <c r="D28" t="s">
        <v>10</v>
      </c>
      <c r="E28" t="s">
        <v>16</v>
      </c>
      <c r="F28" t="s">
        <v>112</v>
      </c>
      <c r="G28" t="str">
        <f>TEXT(Table1_1[[#This Row],[Joining_Date]],"mmm")</f>
        <v>Nov</v>
      </c>
      <c r="H28" t="str">
        <f>TEXT(Table1_1[[#This Row],[Joining_Date]],"yyyy")</f>
        <v>2019</v>
      </c>
      <c r="I28" s="1">
        <v>44431</v>
      </c>
      <c r="J28" t="s">
        <v>18</v>
      </c>
      <c r="K28">
        <f>IF(Table1_1[[#This Row],[Status]]="Exited",1,0)</f>
        <v>1</v>
      </c>
      <c r="L28">
        <f>IF(Table1_1[[#This Row],[Status]]="Exited",0,1)</f>
        <v>0</v>
      </c>
      <c r="M28">
        <v>516880</v>
      </c>
      <c r="N28">
        <v>3.9</v>
      </c>
      <c r="O28" t="s">
        <v>19</v>
      </c>
      <c r="P28">
        <v>96.9</v>
      </c>
      <c r="Q28" t="str">
        <f t="shared" si="0"/>
        <v>Low</v>
      </c>
      <c r="T28">
        <v>3.8</v>
      </c>
      <c r="X28">
        <v>96.9</v>
      </c>
    </row>
    <row r="29" spans="1:24" x14ac:dyDescent="0.3">
      <c r="A29" t="s">
        <v>113</v>
      </c>
      <c r="B29" t="s">
        <v>114</v>
      </c>
      <c r="C29" t="s">
        <v>54</v>
      </c>
      <c r="D29" t="s">
        <v>33</v>
      </c>
      <c r="E29" t="s">
        <v>16</v>
      </c>
      <c r="F29" t="s">
        <v>115</v>
      </c>
      <c r="G29" t="str">
        <f>TEXT(Table1_1[[#This Row],[Joining_Date]],"mmm")</f>
        <v>Feb</v>
      </c>
      <c r="H29" t="str">
        <f>TEXT(Table1_1[[#This Row],[Joining_Date]],"yyyy")</f>
        <v>2018</v>
      </c>
      <c r="I29" s="1">
        <v>44594</v>
      </c>
      <c r="J29" t="s">
        <v>18</v>
      </c>
      <c r="K29">
        <f>IF(Table1_1[[#This Row],[Status]]="Exited",1,0)</f>
        <v>1</v>
      </c>
      <c r="L29">
        <f>IF(Table1_1[[#This Row],[Status]]="Exited",0,1)</f>
        <v>0</v>
      </c>
      <c r="M29">
        <v>639166</v>
      </c>
      <c r="N29">
        <v>2.2999999999999998</v>
      </c>
      <c r="O29" t="s">
        <v>19</v>
      </c>
      <c r="P29">
        <v>75.2</v>
      </c>
      <c r="Q29" t="str">
        <f t="shared" si="0"/>
        <v>Low</v>
      </c>
      <c r="T29">
        <v>2.6</v>
      </c>
      <c r="X29">
        <v>75.2</v>
      </c>
    </row>
    <row r="30" spans="1:24" x14ac:dyDescent="0.3">
      <c r="A30" t="s">
        <v>116</v>
      </c>
      <c r="B30" t="s">
        <v>117</v>
      </c>
      <c r="C30" t="s">
        <v>54</v>
      </c>
      <c r="D30" t="s">
        <v>49</v>
      </c>
      <c r="E30" t="s">
        <v>45</v>
      </c>
      <c r="F30" t="s">
        <v>118</v>
      </c>
      <c r="G30" t="str">
        <f>TEXT(Table1_1[[#This Row],[Joining_Date]],"mmm")</f>
        <v>Feb</v>
      </c>
      <c r="H30" t="str">
        <f>TEXT(Table1_1[[#This Row],[Joining_Date]],"yyyy")</f>
        <v>2024</v>
      </c>
      <c r="I30" s="1"/>
      <c r="J30" t="s">
        <v>29</v>
      </c>
      <c r="K30">
        <f>IF(Table1_1[[#This Row],[Status]]="Exited",1,0)</f>
        <v>0</v>
      </c>
      <c r="L30">
        <f>IF(Table1_1[[#This Row],[Status]]="Exited",0,1)</f>
        <v>1</v>
      </c>
      <c r="M30">
        <v>944641</v>
      </c>
      <c r="N30">
        <v>2.8</v>
      </c>
      <c r="O30" t="s">
        <v>42</v>
      </c>
      <c r="P30">
        <v>99.6</v>
      </c>
      <c r="Q30" t="str">
        <f t="shared" si="0"/>
        <v>Low</v>
      </c>
      <c r="T30">
        <v>4.2</v>
      </c>
      <c r="X30">
        <v>99.6</v>
      </c>
    </row>
    <row r="31" spans="1:24" x14ac:dyDescent="0.3">
      <c r="A31" t="s">
        <v>119</v>
      </c>
      <c r="B31" t="s">
        <v>120</v>
      </c>
      <c r="C31" t="s">
        <v>22</v>
      </c>
      <c r="D31" t="s">
        <v>10</v>
      </c>
      <c r="E31" t="s">
        <v>45</v>
      </c>
      <c r="F31" t="s">
        <v>121</v>
      </c>
      <c r="G31" t="str">
        <f>TEXT(Table1_1[[#This Row],[Joining_Date]],"mmm")</f>
        <v>Oct</v>
      </c>
      <c r="H31" t="str">
        <f>TEXT(Table1_1[[#This Row],[Joining_Date]],"yyyy")</f>
        <v>2019</v>
      </c>
      <c r="I31" s="1">
        <v>43881</v>
      </c>
      <c r="J31" t="s">
        <v>18</v>
      </c>
      <c r="K31">
        <f>IF(Table1_1[[#This Row],[Status]]="Exited",1,0)</f>
        <v>1</v>
      </c>
      <c r="L31">
        <f>IF(Table1_1[[#This Row],[Status]]="Exited",0,1)</f>
        <v>0</v>
      </c>
      <c r="M31">
        <v>1138812</v>
      </c>
      <c r="N31">
        <v>5</v>
      </c>
      <c r="O31" t="s">
        <v>19</v>
      </c>
      <c r="P31">
        <v>87.4</v>
      </c>
      <c r="Q31" t="str">
        <f t="shared" si="0"/>
        <v>High</v>
      </c>
      <c r="T31">
        <v>4</v>
      </c>
      <c r="X31">
        <v>87.4</v>
      </c>
    </row>
    <row r="32" spans="1:24" x14ac:dyDescent="0.3">
      <c r="A32" t="s">
        <v>122</v>
      </c>
      <c r="B32" t="s">
        <v>123</v>
      </c>
      <c r="C32" t="s">
        <v>61</v>
      </c>
      <c r="D32" t="s">
        <v>15</v>
      </c>
      <c r="E32" t="s">
        <v>16</v>
      </c>
      <c r="F32" t="s">
        <v>124</v>
      </c>
      <c r="G32" t="str">
        <f>TEXT(Table1_1[[#This Row],[Joining_Date]],"mmm")</f>
        <v>Oct</v>
      </c>
      <c r="H32" t="str">
        <f>TEXT(Table1_1[[#This Row],[Joining_Date]],"yyyy")</f>
        <v>2024</v>
      </c>
      <c r="I32" s="1"/>
      <c r="J32" t="s">
        <v>29</v>
      </c>
      <c r="K32">
        <f>IF(Table1_1[[#This Row],[Status]]="Exited",1,0)</f>
        <v>0</v>
      </c>
      <c r="L32">
        <f>IF(Table1_1[[#This Row],[Status]]="Exited",0,1)</f>
        <v>1</v>
      </c>
      <c r="M32">
        <v>948550</v>
      </c>
      <c r="N32">
        <v>4.4000000000000004</v>
      </c>
      <c r="O32" t="s">
        <v>42</v>
      </c>
      <c r="P32">
        <v>99.3</v>
      </c>
      <c r="Q32" t="str">
        <f t="shared" si="0"/>
        <v>High</v>
      </c>
      <c r="T32">
        <v>3</v>
      </c>
      <c r="X32">
        <v>99.3</v>
      </c>
    </row>
    <row r="33" spans="1:24" x14ac:dyDescent="0.3">
      <c r="A33" t="s">
        <v>125</v>
      </c>
      <c r="B33" t="s">
        <v>126</v>
      </c>
      <c r="C33" t="s">
        <v>37</v>
      </c>
      <c r="D33" t="s">
        <v>15</v>
      </c>
      <c r="E33" t="s">
        <v>50</v>
      </c>
      <c r="F33" t="s">
        <v>127</v>
      </c>
      <c r="G33" t="str">
        <f>TEXT(Table1_1[[#This Row],[Joining_Date]],"mmm")</f>
        <v>Dec</v>
      </c>
      <c r="H33" t="str">
        <f>TEXT(Table1_1[[#This Row],[Joining_Date]],"yyyy")</f>
        <v>2019</v>
      </c>
      <c r="I33" s="1">
        <v>44550</v>
      </c>
      <c r="J33" t="s">
        <v>18</v>
      </c>
      <c r="K33">
        <f>IF(Table1_1[[#This Row],[Status]]="Exited",1,0)</f>
        <v>1</v>
      </c>
      <c r="L33">
        <f>IF(Table1_1[[#This Row],[Status]]="Exited",0,1)</f>
        <v>0</v>
      </c>
      <c r="M33">
        <v>843035</v>
      </c>
      <c r="N33">
        <v>4.7</v>
      </c>
      <c r="O33" t="s">
        <v>30</v>
      </c>
      <c r="P33">
        <v>79.8</v>
      </c>
      <c r="Q33" t="str">
        <f t="shared" si="0"/>
        <v>High</v>
      </c>
      <c r="X33">
        <v>98.7</v>
      </c>
    </row>
    <row r="34" spans="1:24" x14ac:dyDescent="0.3">
      <c r="A34" t="s">
        <v>129</v>
      </c>
      <c r="B34" t="s">
        <v>130</v>
      </c>
      <c r="C34" t="s">
        <v>22</v>
      </c>
      <c r="D34" t="s">
        <v>10</v>
      </c>
      <c r="E34" t="s">
        <v>27</v>
      </c>
      <c r="F34" t="s">
        <v>131</v>
      </c>
      <c r="G34" t="str">
        <f>TEXT(Table1_1[[#This Row],[Joining_Date]],"mmm")</f>
        <v>Oct</v>
      </c>
      <c r="H34" t="str">
        <f>TEXT(Table1_1[[#This Row],[Joining_Date]],"yyyy")</f>
        <v>2021</v>
      </c>
      <c r="I34" s="1">
        <v>45462</v>
      </c>
      <c r="J34" t="s">
        <v>18</v>
      </c>
      <c r="K34">
        <f>IF(Table1_1[[#This Row],[Status]]="Exited",1,0)</f>
        <v>1</v>
      </c>
      <c r="L34">
        <f>IF(Table1_1[[#This Row],[Status]]="Exited",0,1)</f>
        <v>0</v>
      </c>
      <c r="M34">
        <v>742532</v>
      </c>
      <c r="N34">
        <v>4.3</v>
      </c>
      <c r="O34" t="s">
        <v>19</v>
      </c>
      <c r="P34">
        <v>98.7</v>
      </c>
      <c r="Q34" t="str">
        <f t="shared" si="0"/>
        <v>High</v>
      </c>
      <c r="X34">
        <v>86.9</v>
      </c>
    </row>
    <row r="35" spans="1:24" x14ac:dyDescent="0.3">
      <c r="A35" t="s">
        <v>132</v>
      </c>
      <c r="B35" t="s">
        <v>133</v>
      </c>
      <c r="C35" t="s">
        <v>14</v>
      </c>
      <c r="D35" t="s">
        <v>33</v>
      </c>
      <c r="E35" t="s">
        <v>45</v>
      </c>
      <c r="F35" t="s">
        <v>134</v>
      </c>
      <c r="G35" t="str">
        <f>TEXT(Table1_1[[#This Row],[Joining_Date]],"mmm")</f>
        <v>Jun</v>
      </c>
      <c r="H35" t="str">
        <f>TEXT(Table1_1[[#This Row],[Joining_Date]],"yyyy")</f>
        <v>2023</v>
      </c>
      <c r="I35" s="1">
        <v>45978</v>
      </c>
      <c r="J35" t="s">
        <v>18</v>
      </c>
      <c r="K35">
        <f>IF(Table1_1[[#This Row],[Status]]="Exited",1,0)</f>
        <v>1</v>
      </c>
      <c r="L35">
        <f>IF(Table1_1[[#This Row],[Status]]="Exited",0,1)</f>
        <v>0</v>
      </c>
      <c r="M35">
        <v>413138</v>
      </c>
      <c r="N35">
        <v>4.0999999999999996</v>
      </c>
      <c r="O35" t="s">
        <v>24</v>
      </c>
      <c r="P35">
        <v>86.9</v>
      </c>
      <c r="Q35" t="str">
        <f t="shared" si="0"/>
        <v>High</v>
      </c>
      <c r="X35">
        <v>80.599999999999994</v>
      </c>
    </row>
    <row r="36" spans="1:24" x14ac:dyDescent="0.3">
      <c r="A36" t="s">
        <v>135</v>
      </c>
      <c r="B36" t="s">
        <v>136</v>
      </c>
      <c r="C36" t="s">
        <v>54</v>
      </c>
      <c r="D36" t="s">
        <v>49</v>
      </c>
      <c r="E36" t="s">
        <v>16</v>
      </c>
      <c r="F36" t="s">
        <v>137</v>
      </c>
      <c r="G36" t="str">
        <f>TEXT(Table1_1[[#This Row],[Joining_Date]],"mmm")</f>
        <v>Jul</v>
      </c>
      <c r="H36" t="str">
        <f>TEXT(Table1_1[[#This Row],[Joining_Date]],"yyyy")</f>
        <v>2021</v>
      </c>
      <c r="I36" s="1"/>
      <c r="J36" t="s">
        <v>29</v>
      </c>
      <c r="K36">
        <f>IF(Table1_1[[#This Row],[Status]]="Exited",1,0)</f>
        <v>0</v>
      </c>
      <c r="L36">
        <f>IF(Table1_1[[#This Row],[Status]]="Exited",0,1)</f>
        <v>1</v>
      </c>
      <c r="M36">
        <v>327661</v>
      </c>
      <c r="N36">
        <v>2.1</v>
      </c>
      <c r="O36" t="s">
        <v>30</v>
      </c>
      <c r="P36">
        <v>80.599999999999994</v>
      </c>
      <c r="Q36" t="str">
        <f t="shared" si="0"/>
        <v>Low</v>
      </c>
      <c r="X36">
        <v>83</v>
      </c>
    </row>
    <row r="37" spans="1:24" x14ac:dyDescent="0.3">
      <c r="A37" t="s">
        <v>138</v>
      </c>
      <c r="B37" t="s">
        <v>139</v>
      </c>
      <c r="C37" t="s">
        <v>61</v>
      </c>
      <c r="D37" t="s">
        <v>15</v>
      </c>
      <c r="E37" t="s">
        <v>50</v>
      </c>
      <c r="F37" t="s">
        <v>140</v>
      </c>
      <c r="G37" t="str">
        <f>TEXT(Table1_1[[#This Row],[Joining_Date]],"mmm")</f>
        <v>Nov</v>
      </c>
      <c r="H37" t="str">
        <f>TEXT(Table1_1[[#This Row],[Joining_Date]],"yyyy")</f>
        <v>2021</v>
      </c>
      <c r="I37" s="1">
        <v>45799</v>
      </c>
      <c r="J37" t="s">
        <v>18</v>
      </c>
      <c r="K37">
        <f>IF(Table1_1[[#This Row],[Status]]="Exited",1,0)</f>
        <v>1</v>
      </c>
      <c r="L37">
        <f>IF(Table1_1[[#This Row],[Status]]="Exited",0,1)</f>
        <v>0</v>
      </c>
      <c r="M37">
        <v>959364</v>
      </c>
      <c r="N37">
        <v>3.9</v>
      </c>
      <c r="O37" t="s">
        <v>19</v>
      </c>
      <c r="P37">
        <v>83</v>
      </c>
      <c r="Q37" t="str">
        <f t="shared" si="0"/>
        <v>Low</v>
      </c>
      <c r="X37">
        <v>97.5</v>
      </c>
    </row>
    <row r="38" spans="1:24" x14ac:dyDescent="0.3">
      <c r="A38" t="s">
        <v>141</v>
      </c>
      <c r="B38" t="s">
        <v>142</v>
      </c>
      <c r="C38" t="s">
        <v>54</v>
      </c>
      <c r="D38" t="s">
        <v>10</v>
      </c>
      <c r="E38" t="s">
        <v>50</v>
      </c>
      <c r="F38" t="s">
        <v>143</v>
      </c>
      <c r="G38" t="str">
        <f>TEXT(Table1_1[[#This Row],[Joining_Date]],"mmm")</f>
        <v>Jun</v>
      </c>
      <c r="H38" t="str">
        <f>TEXT(Table1_1[[#This Row],[Joining_Date]],"yyyy")</f>
        <v>2021</v>
      </c>
      <c r="I38" s="1">
        <v>45250</v>
      </c>
      <c r="J38" t="s">
        <v>18</v>
      </c>
      <c r="K38">
        <f>IF(Table1_1[[#This Row],[Status]]="Exited",1,0)</f>
        <v>1</v>
      </c>
      <c r="L38">
        <f>IF(Table1_1[[#This Row],[Status]]="Exited",0,1)</f>
        <v>0</v>
      </c>
      <c r="M38">
        <v>874828</v>
      </c>
      <c r="N38">
        <v>2.8</v>
      </c>
      <c r="O38" t="s">
        <v>30</v>
      </c>
      <c r="P38">
        <v>86.9</v>
      </c>
      <c r="Q38" t="str">
        <f t="shared" si="0"/>
        <v>Low</v>
      </c>
      <c r="X38">
        <v>96</v>
      </c>
    </row>
    <row r="39" spans="1:24" x14ac:dyDescent="0.3">
      <c r="A39" t="s">
        <v>144</v>
      </c>
      <c r="B39" t="s">
        <v>145</v>
      </c>
      <c r="C39" t="s">
        <v>14</v>
      </c>
      <c r="D39" t="s">
        <v>10</v>
      </c>
      <c r="E39" t="s">
        <v>50</v>
      </c>
      <c r="F39" t="s">
        <v>146</v>
      </c>
      <c r="G39" t="str">
        <f>TEXT(Table1_1[[#This Row],[Joining_Date]],"mmm")</f>
        <v>Jun</v>
      </c>
      <c r="H39" t="str">
        <f>TEXT(Table1_1[[#This Row],[Joining_Date]],"yyyy")</f>
        <v>2021</v>
      </c>
      <c r="I39" s="1"/>
      <c r="J39" t="s">
        <v>29</v>
      </c>
      <c r="K39">
        <f>IF(Table1_1[[#This Row],[Status]]="Exited",1,0)</f>
        <v>0</v>
      </c>
      <c r="L39">
        <f>IF(Table1_1[[#This Row],[Status]]="Exited",0,1)</f>
        <v>1</v>
      </c>
      <c r="M39">
        <v>973248</v>
      </c>
      <c r="N39">
        <v>2</v>
      </c>
      <c r="O39" t="s">
        <v>24</v>
      </c>
      <c r="P39">
        <v>97.5</v>
      </c>
      <c r="Q39" t="str">
        <f t="shared" si="0"/>
        <v>Low</v>
      </c>
      <c r="X39">
        <v>82.8</v>
      </c>
    </row>
    <row r="40" spans="1:24" x14ac:dyDescent="0.3">
      <c r="A40" t="s">
        <v>147</v>
      </c>
      <c r="B40" t="s">
        <v>148</v>
      </c>
      <c r="C40" t="s">
        <v>14</v>
      </c>
      <c r="D40" t="s">
        <v>49</v>
      </c>
      <c r="E40" t="s">
        <v>16</v>
      </c>
      <c r="F40" t="s">
        <v>149</v>
      </c>
      <c r="G40" t="str">
        <f>TEXT(Table1_1[[#This Row],[Joining_Date]],"mmm")</f>
        <v>Feb</v>
      </c>
      <c r="H40" t="str">
        <f>TEXT(Table1_1[[#This Row],[Joining_Date]],"yyyy")</f>
        <v>2021</v>
      </c>
      <c r="I40" s="1"/>
      <c r="J40" t="s">
        <v>29</v>
      </c>
      <c r="K40">
        <f>IF(Table1_1[[#This Row],[Status]]="Exited",1,0)</f>
        <v>0</v>
      </c>
      <c r="L40">
        <f>IF(Table1_1[[#This Row],[Status]]="Exited",0,1)</f>
        <v>1</v>
      </c>
      <c r="M40">
        <v>457965</v>
      </c>
      <c r="N40">
        <v>2.2000000000000002</v>
      </c>
      <c r="O40" t="s">
        <v>19</v>
      </c>
      <c r="P40">
        <v>97.5</v>
      </c>
      <c r="Q40" t="str">
        <f t="shared" si="0"/>
        <v>Low</v>
      </c>
      <c r="X40">
        <v>92.4</v>
      </c>
    </row>
    <row r="41" spans="1:24" x14ac:dyDescent="0.3">
      <c r="A41" t="s">
        <v>150</v>
      </c>
      <c r="B41" t="s">
        <v>151</v>
      </c>
      <c r="C41" t="s">
        <v>37</v>
      </c>
      <c r="D41" t="s">
        <v>10</v>
      </c>
      <c r="E41" t="s">
        <v>27</v>
      </c>
      <c r="F41" t="s">
        <v>152</v>
      </c>
      <c r="G41" t="str">
        <f>TEXT(Table1_1[[#This Row],[Joining_Date]],"mmm")</f>
        <v>Mar</v>
      </c>
      <c r="H41" t="str">
        <f>TEXT(Table1_1[[#This Row],[Joining_Date]],"yyyy")</f>
        <v>2023</v>
      </c>
      <c r="I41" s="1"/>
      <c r="J41" t="s">
        <v>29</v>
      </c>
      <c r="K41">
        <f>IF(Table1_1[[#This Row],[Status]]="Exited",1,0)</f>
        <v>0</v>
      </c>
      <c r="L41">
        <f>IF(Table1_1[[#This Row],[Status]]="Exited",0,1)</f>
        <v>1</v>
      </c>
      <c r="M41">
        <v>407958</v>
      </c>
      <c r="N41">
        <v>3.1</v>
      </c>
      <c r="O41" t="s">
        <v>30</v>
      </c>
      <c r="P41">
        <v>96</v>
      </c>
      <c r="Q41" t="str">
        <f t="shared" si="0"/>
        <v>Low</v>
      </c>
      <c r="X41">
        <v>92</v>
      </c>
    </row>
    <row r="42" spans="1:24" x14ac:dyDescent="0.3">
      <c r="A42" t="s">
        <v>153</v>
      </c>
      <c r="B42" t="s">
        <v>154</v>
      </c>
      <c r="C42" t="s">
        <v>54</v>
      </c>
      <c r="D42" t="s">
        <v>15</v>
      </c>
      <c r="E42" t="s">
        <v>50</v>
      </c>
      <c r="F42" t="s">
        <v>155</v>
      </c>
      <c r="G42" t="str">
        <f>TEXT(Table1_1[[#This Row],[Joining_Date]],"mmm")</f>
        <v>Feb</v>
      </c>
      <c r="H42" t="str">
        <f>TEXT(Table1_1[[#This Row],[Joining_Date]],"yyyy")</f>
        <v>2021</v>
      </c>
      <c r="I42" s="1"/>
      <c r="J42" t="s">
        <v>29</v>
      </c>
      <c r="K42">
        <f>IF(Table1_1[[#This Row],[Status]]="Exited",1,0)</f>
        <v>0</v>
      </c>
      <c r="L42">
        <f>IF(Table1_1[[#This Row],[Status]]="Exited",0,1)</f>
        <v>1</v>
      </c>
      <c r="M42">
        <v>739771</v>
      </c>
      <c r="N42">
        <v>2</v>
      </c>
      <c r="O42" t="s">
        <v>19</v>
      </c>
      <c r="P42">
        <v>82.8</v>
      </c>
      <c r="Q42" t="str">
        <f t="shared" si="0"/>
        <v>Low</v>
      </c>
      <c r="X42">
        <v>91.5</v>
      </c>
    </row>
    <row r="43" spans="1:24" x14ac:dyDescent="0.3">
      <c r="A43" t="s">
        <v>156</v>
      </c>
      <c r="B43" t="s">
        <v>157</v>
      </c>
      <c r="C43" t="s">
        <v>61</v>
      </c>
      <c r="D43" t="s">
        <v>15</v>
      </c>
      <c r="E43" t="s">
        <v>16</v>
      </c>
      <c r="F43" t="s">
        <v>158</v>
      </c>
      <c r="G43" t="str">
        <f>TEXT(Table1_1[[#This Row],[Joining_Date]],"mmm")</f>
        <v>Jul</v>
      </c>
      <c r="H43" t="str">
        <f>TEXT(Table1_1[[#This Row],[Joining_Date]],"yyyy")</f>
        <v>2021</v>
      </c>
      <c r="I43" s="1">
        <v>45405</v>
      </c>
      <c r="J43" t="s">
        <v>18</v>
      </c>
      <c r="K43">
        <f>IF(Table1_1[[#This Row],[Status]]="Exited",1,0)</f>
        <v>1</v>
      </c>
      <c r="L43">
        <f>IF(Table1_1[[#This Row],[Status]]="Exited",0,1)</f>
        <v>0</v>
      </c>
      <c r="M43">
        <v>824601</v>
      </c>
      <c r="N43">
        <v>3.6</v>
      </c>
      <c r="O43" t="s">
        <v>42</v>
      </c>
      <c r="P43">
        <v>92.4</v>
      </c>
      <c r="Q43" t="str">
        <f t="shared" si="0"/>
        <v>Low</v>
      </c>
      <c r="X43">
        <v>86.8</v>
      </c>
    </row>
    <row r="44" spans="1:24" x14ac:dyDescent="0.3">
      <c r="A44" t="s">
        <v>160</v>
      </c>
      <c r="B44" t="s">
        <v>161</v>
      </c>
      <c r="C44" t="s">
        <v>22</v>
      </c>
      <c r="D44" t="s">
        <v>33</v>
      </c>
      <c r="E44" t="s">
        <v>50</v>
      </c>
      <c r="F44" t="s">
        <v>162</v>
      </c>
      <c r="G44" t="str">
        <f>TEXT(Table1_1[[#This Row],[Joining_Date]],"mmm")</f>
        <v>Jun</v>
      </c>
      <c r="H44" t="str">
        <f>TEXT(Table1_1[[#This Row],[Joining_Date]],"yyyy")</f>
        <v>2018</v>
      </c>
      <c r="I44" s="1">
        <v>43743</v>
      </c>
      <c r="J44" t="s">
        <v>18</v>
      </c>
      <c r="K44">
        <f>IF(Table1_1[[#This Row],[Status]]="Exited",1,0)</f>
        <v>1</v>
      </c>
      <c r="L44">
        <f>IF(Table1_1[[#This Row],[Status]]="Exited",0,1)</f>
        <v>0</v>
      </c>
      <c r="M44">
        <v>944351</v>
      </c>
      <c r="N44">
        <v>3.6</v>
      </c>
      <c r="O44" t="s">
        <v>19</v>
      </c>
      <c r="P44">
        <v>92</v>
      </c>
      <c r="Q44" t="str">
        <f t="shared" si="0"/>
        <v>Low</v>
      </c>
      <c r="X44">
        <v>94.6</v>
      </c>
    </row>
    <row r="45" spans="1:24" x14ac:dyDescent="0.3">
      <c r="A45" t="s">
        <v>163</v>
      </c>
      <c r="B45" t="s">
        <v>164</v>
      </c>
      <c r="C45" t="s">
        <v>14</v>
      </c>
      <c r="D45" t="s">
        <v>10</v>
      </c>
      <c r="E45" t="s">
        <v>45</v>
      </c>
      <c r="F45" t="s">
        <v>165</v>
      </c>
      <c r="G45" t="str">
        <f>TEXT(Table1_1[[#This Row],[Joining_Date]],"mmm")</f>
        <v>Aug</v>
      </c>
      <c r="H45" t="str">
        <f>TEXT(Table1_1[[#This Row],[Joining_Date]],"yyyy")</f>
        <v>2024</v>
      </c>
      <c r="I45" s="1"/>
      <c r="J45" t="s">
        <v>29</v>
      </c>
      <c r="K45">
        <f>IF(Table1_1[[#This Row],[Status]]="Exited",1,0)</f>
        <v>0</v>
      </c>
      <c r="L45">
        <f>IF(Table1_1[[#This Row],[Status]]="Exited",0,1)</f>
        <v>1</v>
      </c>
      <c r="M45">
        <v>1083248</v>
      </c>
      <c r="N45">
        <v>4.5999999999999996</v>
      </c>
      <c r="O45" t="s">
        <v>19</v>
      </c>
      <c r="P45">
        <v>91.5</v>
      </c>
      <c r="Q45" t="str">
        <f t="shared" si="0"/>
        <v>High</v>
      </c>
      <c r="X45">
        <v>83.9</v>
      </c>
    </row>
    <row r="46" spans="1:24" x14ac:dyDescent="0.3">
      <c r="A46" t="s">
        <v>166</v>
      </c>
      <c r="B46" t="s">
        <v>167</v>
      </c>
      <c r="C46" t="s">
        <v>61</v>
      </c>
      <c r="D46" t="s">
        <v>49</v>
      </c>
      <c r="E46" t="s">
        <v>16</v>
      </c>
      <c r="F46" t="s">
        <v>168</v>
      </c>
      <c r="G46" t="str">
        <f>TEXT(Table1_1[[#This Row],[Joining_Date]],"mmm")</f>
        <v>Mar</v>
      </c>
      <c r="H46" t="str">
        <f>TEXT(Table1_1[[#This Row],[Joining_Date]],"yyyy")</f>
        <v>2019</v>
      </c>
      <c r="I46" s="1">
        <v>43704</v>
      </c>
      <c r="J46" t="s">
        <v>18</v>
      </c>
      <c r="K46">
        <f>IF(Table1_1[[#This Row],[Status]]="Exited",1,0)</f>
        <v>1</v>
      </c>
      <c r="L46">
        <f>IF(Table1_1[[#This Row],[Status]]="Exited",0,1)</f>
        <v>0</v>
      </c>
      <c r="M46">
        <v>264530</v>
      </c>
      <c r="N46">
        <v>3.8</v>
      </c>
      <c r="O46" t="s">
        <v>24</v>
      </c>
      <c r="P46">
        <v>82</v>
      </c>
      <c r="Q46" t="str">
        <f t="shared" si="0"/>
        <v>Low</v>
      </c>
      <c r="X46">
        <v>88.8</v>
      </c>
    </row>
    <row r="47" spans="1:24" x14ac:dyDescent="0.3">
      <c r="A47" t="s">
        <v>169</v>
      </c>
      <c r="B47" t="s">
        <v>170</v>
      </c>
      <c r="C47" t="s">
        <v>22</v>
      </c>
      <c r="D47" t="s">
        <v>15</v>
      </c>
      <c r="E47" t="s">
        <v>27</v>
      </c>
      <c r="F47" t="s">
        <v>171</v>
      </c>
      <c r="G47" t="str">
        <f>TEXT(Table1_1[[#This Row],[Joining_Date]],"mmm")</f>
        <v>May</v>
      </c>
      <c r="H47" t="str">
        <f>TEXT(Table1_1[[#This Row],[Joining_Date]],"yyyy")</f>
        <v>2018</v>
      </c>
      <c r="I47" s="1">
        <v>44415</v>
      </c>
      <c r="J47" t="s">
        <v>18</v>
      </c>
      <c r="K47">
        <f>IF(Table1_1[[#This Row],[Status]]="Exited",1,0)</f>
        <v>1</v>
      </c>
      <c r="L47">
        <f>IF(Table1_1[[#This Row],[Status]]="Exited",0,1)</f>
        <v>0</v>
      </c>
      <c r="M47">
        <v>1014718</v>
      </c>
      <c r="N47">
        <v>4.4000000000000004</v>
      </c>
      <c r="O47" t="s">
        <v>42</v>
      </c>
      <c r="P47">
        <v>86.8</v>
      </c>
      <c r="Q47" t="str">
        <f t="shared" si="0"/>
        <v>High</v>
      </c>
      <c r="X47">
        <v>94.2</v>
      </c>
    </row>
    <row r="48" spans="1:24" x14ac:dyDescent="0.3">
      <c r="A48" t="s">
        <v>173</v>
      </c>
      <c r="B48" t="s">
        <v>174</v>
      </c>
      <c r="C48" t="s">
        <v>61</v>
      </c>
      <c r="D48" t="s">
        <v>33</v>
      </c>
      <c r="E48" t="s">
        <v>50</v>
      </c>
      <c r="F48" t="s">
        <v>175</v>
      </c>
      <c r="G48" t="str">
        <f>TEXT(Table1_1[[#This Row],[Joining_Date]],"mmm")</f>
        <v>Jan</v>
      </c>
      <c r="H48" t="str">
        <f>TEXT(Table1_1[[#This Row],[Joining_Date]],"yyyy")</f>
        <v>2024</v>
      </c>
      <c r="I48" s="1">
        <v>45760</v>
      </c>
      <c r="J48" t="s">
        <v>18</v>
      </c>
      <c r="K48">
        <f>IF(Table1_1[[#This Row],[Status]]="Exited",1,0)</f>
        <v>1</v>
      </c>
      <c r="L48">
        <f>IF(Table1_1[[#This Row],[Status]]="Exited",0,1)</f>
        <v>0</v>
      </c>
      <c r="M48">
        <v>636236</v>
      </c>
      <c r="N48">
        <v>2.2000000000000002</v>
      </c>
      <c r="O48" t="s">
        <v>19</v>
      </c>
      <c r="P48">
        <v>94.6</v>
      </c>
      <c r="Q48" t="str">
        <f t="shared" si="0"/>
        <v>Low</v>
      </c>
      <c r="X48">
        <v>91.6</v>
      </c>
    </row>
    <row r="49" spans="1:24" x14ac:dyDescent="0.3">
      <c r="A49" t="s">
        <v>176</v>
      </c>
      <c r="B49" t="s">
        <v>177</v>
      </c>
      <c r="C49" t="s">
        <v>61</v>
      </c>
      <c r="D49" t="s">
        <v>15</v>
      </c>
      <c r="E49" t="s">
        <v>45</v>
      </c>
      <c r="F49" t="s">
        <v>178</v>
      </c>
      <c r="G49" t="str">
        <f>TEXT(Table1_1[[#This Row],[Joining_Date]],"mmm")</f>
        <v>Jul</v>
      </c>
      <c r="H49" t="str">
        <f>TEXT(Table1_1[[#This Row],[Joining_Date]],"yyyy")</f>
        <v>2019</v>
      </c>
      <c r="I49" s="1"/>
      <c r="J49" t="s">
        <v>29</v>
      </c>
      <c r="K49">
        <f>IF(Table1_1[[#This Row],[Status]]="Exited",1,0)</f>
        <v>0</v>
      </c>
      <c r="L49">
        <f>IF(Table1_1[[#This Row],[Status]]="Exited",0,1)</f>
        <v>1</v>
      </c>
      <c r="M49">
        <v>613197</v>
      </c>
      <c r="N49">
        <v>2.6</v>
      </c>
      <c r="O49" t="s">
        <v>24</v>
      </c>
      <c r="P49">
        <v>99.6</v>
      </c>
      <c r="Q49" t="str">
        <f t="shared" si="0"/>
        <v>Low</v>
      </c>
      <c r="X49">
        <v>97.6</v>
      </c>
    </row>
    <row r="50" spans="1:24" x14ac:dyDescent="0.3">
      <c r="A50" t="s">
        <v>179</v>
      </c>
      <c r="B50" t="s">
        <v>180</v>
      </c>
      <c r="C50" t="s">
        <v>61</v>
      </c>
      <c r="D50" t="s">
        <v>10</v>
      </c>
      <c r="E50" t="s">
        <v>50</v>
      </c>
      <c r="F50" t="s">
        <v>181</v>
      </c>
      <c r="G50" t="str">
        <f>TEXT(Table1_1[[#This Row],[Joining_Date]],"mmm")</f>
        <v>Aug</v>
      </c>
      <c r="H50" t="str">
        <f>TEXT(Table1_1[[#This Row],[Joining_Date]],"yyyy")</f>
        <v>2022</v>
      </c>
      <c r="I50" s="1">
        <v>46126</v>
      </c>
      <c r="J50" t="s">
        <v>18</v>
      </c>
      <c r="K50">
        <f>IF(Table1_1[[#This Row],[Status]]="Exited",1,0)</f>
        <v>1</v>
      </c>
      <c r="L50">
        <f>IF(Table1_1[[#This Row],[Status]]="Exited",0,1)</f>
        <v>0</v>
      </c>
      <c r="M50">
        <v>1005861</v>
      </c>
      <c r="N50">
        <v>3.4</v>
      </c>
      <c r="O50" t="s">
        <v>42</v>
      </c>
      <c r="P50">
        <v>83.8</v>
      </c>
      <c r="Q50" t="str">
        <f t="shared" si="0"/>
        <v>Low</v>
      </c>
      <c r="X50">
        <v>93.3</v>
      </c>
    </row>
    <row r="51" spans="1:24" x14ac:dyDescent="0.3">
      <c r="A51" t="s">
        <v>182</v>
      </c>
      <c r="B51" t="s">
        <v>183</v>
      </c>
      <c r="C51" t="s">
        <v>22</v>
      </c>
      <c r="D51" t="s">
        <v>49</v>
      </c>
      <c r="E51" t="s">
        <v>50</v>
      </c>
      <c r="F51" t="s">
        <v>184</v>
      </c>
      <c r="G51" t="str">
        <f>TEXT(Table1_1[[#This Row],[Joining_Date]],"mmm")</f>
        <v>Dec</v>
      </c>
      <c r="H51" t="str">
        <f>TEXT(Table1_1[[#This Row],[Joining_Date]],"yyyy")</f>
        <v>2022</v>
      </c>
      <c r="I51" s="1">
        <v>45704</v>
      </c>
      <c r="J51" t="s">
        <v>18</v>
      </c>
      <c r="K51">
        <f>IF(Table1_1[[#This Row],[Status]]="Exited",1,0)</f>
        <v>1</v>
      </c>
      <c r="L51">
        <f>IF(Table1_1[[#This Row],[Status]]="Exited",0,1)</f>
        <v>0</v>
      </c>
      <c r="M51">
        <v>899885</v>
      </c>
      <c r="N51">
        <v>3.1</v>
      </c>
      <c r="O51" t="s">
        <v>19</v>
      </c>
      <c r="P51">
        <v>83.9</v>
      </c>
      <c r="Q51" t="str">
        <f t="shared" si="0"/>
        <v>Low</v>
      </c>
      <c r="X51">
        <v>90.4</v>
      </c>
    </row>
    <row r="52" spans="1:24" x14ac:dyDescent="0.3">
      <c r="A52" t="s">
        <v>185</v>
      </c>
      <c r="B52" t="s">
        <v>186</v>
      </c>
      <c r="C52" t="s">
        <v>14</v>
      </c>
      <c r="D52" t="s">
        <v>10</v>
      </c>
      <c r="E52" t="s">
        <v>50</v>
      </c>
      <c r="F52" t="s">
        <v>187</v>
      </c>
      <c r="G52" t="str">
        <f>TEXT(Table1_1[[#This Row],[Joining_Date]],"mmm")</f>
        <v>Nov</v>
      </c>
      <c r="H52" t="str">
        <f>TEXT(Table1_1[[#This Row],[Joining_Date]],"yyyy")</f>
        <v>2019</v>
      </c>
      <c r="I52" s="1"/>
      <c r="J52" t="s">
        <v>29</v>
      </c>
      <c r="K52">
        <f>IF(Table1_1[[#This Row],[Status]]="Exited",1,0)</f>
        <v>0</v>
      </c>
      <c r="L52">
        <f>IF(Table1_1[[#This Row],[Status]]="Exited",0,1)</f>
        <v>1</v>
      </c>
      <c r="M52">
        <v>990597</v>
      </c>
      <c r="N52">
        <v>3.4</v>
      </c>
      <c r="O52" t="s">
        <v>30</v>
      </c>
      <c r="P52">
        <v>88.8</v>
      </c>
      <c r="Q52" t="str">
        <f t="shared" si="0"/>
        <v>Low</v>
      </c>
      <c r="X52">
        <v>97.3</v>
      </c>
    </row>
    <row r="53" spans="1:24" x14ac:dyDescent="0.3">
      <c r="A53" t="s">
        <v>188</v>
      </c>
      <c r="B53" t="s">
        <v>189</v>
      </c>
      <c r="C53" t="s">
        <v>37</v>
      </c>
      <c r="D53" t="s">
        <v>15</v>
      </c>
      <c r="E53" t="s">
        <v>45</v>
      </c>
      <c r="F53" t="s">
        <v>190</v>
      </c>
      <c r="G53" t="str">
        <f>TEXT(Table1_1[[#This Row],[Joining_Date]],"mmm")</f>
        <v>Oct</v>
      </c>
      <c r="H53" t="str">
        <f>TEXT(Table1_1[[#This Row],[Joining_Date]],"yyyy")</f>
        <v>2021</v>
      </c>
      <c r="I53" s="1"/>
      <c r="J53" t="s">
        <v>29</v>
      </c>
      <c r="K53">
        <f>IF(Table1_1[[#This Row],[Status]]="Exited",1,0)</f>
        <v>0</v>
      </c>
      <c r="L53">
        <f>IF(Table1_1[[#This Row],[Status]]="Exited",0,1)</f>
        <v>1</v>
      </c>
      <c r="M53">
        <v>950927</v>
      </c>
      <c r="N53">
        <v>3.5</v>
      </c>
      <c r="O53" t="s">
        <v>24</v>
      </c>
      <c r="P53">
        <v>94.2</v>
      </c>
      <c r="Q53" t="str">
        <f t="shared" si="0"/>
        <v>Low</v>
      </c>
      <c r="X53">
        <v>98.4</v>
      </c>
    </row>
    <row r="54" spans="1:24" x14ac:dyDescent="0.3">
      <c r="A54" t="s">
        <v>191</v>
      </c>
      <c r="B54" t="s">
        <v>192</v>
      </c>
      <c r="C54" t="s">
        <v>22</v>
      </c>
      <c r="D54" t="s">
        <v>33</v>
      </c>
      <c r="E54" t="s">
        <v>45</v>
      </c>
      <c r="F54" t="s">
        <v>193</v>
      </c>
      <c r="G54" t="str">
        <f>TEXT(Table1_1[[#This Row],[Joining_Date]],"mmm")</f>
        <v>Jul</v>
      </c>
      <c r="H54" t="str">
        <f>TEXT(Table1_1[[#This Row],[Joining_Date]],"yyyy")</f>
        <v>2021</v>
      </c>
      <c r="I54" s="1">
        <v>45843</v>
      </c>
      <c r="J54" t="s">
        <v>18</v>
      </c>
      <c r="K54">
        <f>IF(Table1_1[[#This Row],[Status]]="Exited",1,0)</f>
        <v>1</v>
      </c>
      <c r="L54">
        <f>IF(Table1_1[[#This Row],[Status]]="Exited",0,1)</f>
        <v>0</v>
      </c>
      <c r="M54">
        <v>662828</v>
      </c>
      <c r="N54">
        <v>3.5</v>
      </c>
      <c r="O54" t="s">
        <v>19</v>
      </c>
      <c r="P54">
        <v>91.6</v>
      </c>
      <c r="Q54" t="str">
        <f t="shared" si="0"/>
        <v>Low</v>
      </c>
      <c r="X54">
        <v>85.2</v>
      </c>
    </row>
    <row r="55" spans="1:24" x14ac:dyDescent="0.3">
      <c r="A55" t="s">
        <v>194</v>
      </c>
      <c r="B55" t="s">
        <v>195</v>
      </c>
      <c r="C55" t="s">
        <v>54</v>
      </c>
      <c r="D55" t="s">
        <v>33</v>
      </c>
      <c r="E55" t="s">
        <v>50</v>
      </c>
      <c r="F55" t="s">
        <v>196</v>
      </c>
      <c r="G55" t="str">
        <f>TEXT(Table1_1[[#This Row],[Joining_Date]],"mmm")</f>
        <v>Feb</v>
      </c>
      <c r="H55" t="str">
        <f>TEXT(Table1_1[[#This Row],[Joining_Date]],"yyyy")</f>
        <v>2020</v>
      </c>
      <c r="I55" s="1"/>
      <c r="J55" t="s">
        <v>29</v>
      </c>
      <c r="K55">
        <f>IF(Table1_1[[#This Row],[Status]]="Exited",1,0)</f>
        <v>0</v>
      </c>
      <c r="L55">
        <f>IF(Table1_1[[#This Row],[Status]]="Exited",0,1)</f>
        <v>1</v>
      </c>
      <c r="M55">
        <v>999328</v>
      </c>
      <c r="N55">
        <v>4.3</v>
      </c>
      <c r="O55" t="s">
        <v>19</v>
      </c>
      <c r="P55">
        <v>97.6</v>
      </c>
      <c r="Q55" t="str">
        <f t="shared" si="0"/>
        <v>High</v>
      </c>
      <c r="X55">
        <v>80.5</v>
      </c>
    </row>
    <row r="56" spans="1:24" x14ac:dyDescent="0.3">
      <c r="A56" t="s">
        <v>197</v>
      </c>
      <c r="B56" t="s">
        <v>198</v>
      </c>
      <c r="C56" t="s">
        <v>54</v>
      </c>
      <c r="D56" t="s">
        <v>15</v>
      </c>
      <c r="E56" t="s">
        <v>16</v>
      </c>
      <c r="F56" t="s">
        <v>199</v>
      </c>
      <c r="G56" t="str">
        <f>TEXT(Table1_1[[#This Row],[Joining_Date]],"mmm")</f>
        <v>Feb</v>
      </c>
      <c r="H56" t="str">
        <f>TEXT(Table1_1[[#This Row],[Joining_Date]],"yyyy")</f>
        <v>2021</v>
      </c>
      <c r="I56" s="1">
        <v>44582</v>
      </c>
      <c r="J56" t="s">
        <v>18</v>
      </c>
      <c r="K56">
        <f>IF(Table1_1[[#This Row],[Status]]="Exited",1,0)</f>
        <v>1</v>
      </c>
      <c r="L56">
        <f>IF(Table1_1[[#This Row],[Status]]="Exited",0,1)</f>
        <v>0</v>
      </c>
      <c r="M56">
        <v>587489</v>
      </c>
      <c r="N56">
        <v>3.3</v>
      </c>
      <c r="O56" t="s">
        <v>24</v>
      </c>
      <c r="P56">
        <v>93.3</v>
      </c>
      <c r="Q56" t="str">
        <f t="shared" si="0"/>
        <v>Low</v>
      </c>
      <c r="X56">
        <v>91.9</v>
      </c>
    </row>
    <row r="57" spans="1:24" x14ac:dyDescent="0.3">
      <c r="A57" t="s">
        <v>200</v>
      </c>
      <c r="B57" t="s">
        <v>201</v>
      </c>
      <c r="C57" t="s">
        <v>54</v>
      </c>
      <c r="D57" t="s">
        <v>49</v>
      </c>
      <c r="E57" t="s">
        <v>27</v>
      </c>
      <c r="F57" t="s">
        <v>202</v>
      </c>
      <c r="G57" t="str">
        <f>TEXT(Table1_1[[#This Row],[Joining_Date]],"mmm")</f>
        <v>Nov</v>
      </c>
      <c r="H57" t="str">
        <f>TEXT(Table1_1[[#This Row],[Joining_Date]],"yyyy")</f>
        <v>2023</v>
      </c>
      <c r="I57" s="1">
        <v>46411</v>
      </c>
      <c r="J57" t="s">
        <v>18</v>
      </c>
      <c r="K57">
        <f>IF(Table1_1[[#This Row],[Status]]="Exited",1,0)</f>
        <v>1</v>
      </c>
      <c r="L57">
        <f>IF(Table1_1[[#This Row],[Status]]="Exited",0,1)</f>
        <v>0</v>
      </c>
      <c r="M57">
        <v>572489</v>
      </c>
      <c r="N57">
        <v>3.3</v>
      </c>
      <c r="O57" t="s">
        <v>19</v>
      </c>
      <c r="P57">
        <v>90.4</v>
      </c>
      <c r="Q57" t="str">
        <f t="shared" si="0"/>
        <v>Low</v>
      </c>
      <c r="X57">
        <v>82.2</v>
      </c>
    </row>
    <row r="58" spans="1:24" x14ac:dyDescent="0.3">
      <c r="A58" t="s">
        <v>203</v>
      </c>
      <c r="B58" t="s">
        <v>204</v>
      </c>
      <c r="C58" t="s">
        <v>54</v>
      </c>
      <c r="D58" t="s">
        <v>15</v>
      </c>
      <c r="E58" t="s">
        <v>27</v>
      </c>
      <c r="F58" t="s">
        <v>205</v>
      </c>
      <c r="G58" t="str">
        <f>TEXT(Table1_1[[#This Row],[Joining_Date]],"mmm")</f>
        <v>Nov</v>
      </c>
      <c r="H58" t="str">
        <f>TEXT(Table1_1[[#This Row],[Joining_Date]],"yyyy")</f>
        <v>2018</v>
      </c>
      <c r="I58" s="1">
        <v>44314</v>
      </c>
      <c r="J58" t="s">
        <v>18</v>
      </c>
      <c r="K58">
        <f>IF(Table1_1[[#This Row],[Status]]="Exited",1,0)</f>
        <v>1</v>
      </c>
      <c r="L58">
        <f>IF(Table1_1[[#This Row],[Status]]="Exited",0,1)</f>
        <v>0</v>
      </c>
      <c r="M58">
        <v>317279</v>
      </c>
      <c r="N58">
        <v>4.2</v>
      </c>
      <c r="O58" t="s">
        <v>19</v>
      </c>
      <c r="P58">
        <v>97.3</v>
      </c>
      <c r="Q58" t="str">
        <f t="shared" si="0"/>
        <v>High</v>
      </c>
      <c r="X58">
        <v>96.3</v>
      </c>
    </row>
    <row r="59" spans="1:24" x14ac:dyDescent="0.3">
      <c r="A59" t="s">
        <v>206</v>
      </c>
      <c r="B59" t="s">
        <v>207</v>
      </c>
      <c r="C59" t="s">
        <v>22</v>
      </c>
      <c r="D59" t="s">
        <v>10</v>
      </c>
      <c r="E59" t="s">
        <v>27</v>
      </c>
      <c r="F59" t="s">
        <v>208</v>
      </c>
      <c r="G59" t="str">
        <f>TEXT(Table1_1[[#This Row],[Joining_Date]],"mmm")</f>
        <v>May</v>
      </c>
      <c r="H59" t="str">
        <f>TEXT(Table1_1[[#This Row],[Joining_Date]],"yyyy")</f>
        <v>2022</v>
      </c>
      <c r="I59" s="1">
        <v>45812</v>
      </c>
      <c r="J59" t="s">
        <v>18</v>
      </c>
      <c r="K59">
        <f>IF(Table1_1[[#This Row],[Status]]="Exited",1,0)</f>
        <v>1</v>
      </c>
      <c r="L59">
        <f>IF(Table1_1[[#This Row],[Status]]="Exited",0,1)</f>
        <v>0</v>
      </c>
      <c r="M59">
        <v>963177</v>
      </c>
      <c r="N59">
        <v>4.8</v>
      </c>
      <c r="O59" t="s">
        <v>24</v>
      </c>
      <c r="P59">
        <v>81.900000000000006</v>
      </c>
      <c r="Q59" t="str">
        <f t="shared" si="0"/>
        <v>High</v>
      </c>
      <c r="X59">
        <v>97.9</v>
      </c>
    </row>
    <row r="60" spans="1:24" x14ac:dyDescent="0.3">
      <c r="A60" t="s">
        <v>209</v>
      </c>
      <c r="B60" t="s">
        <v>210</v>
      </c>
      <c r="C60" t="s">
        <v>22</v>
      </c>
      <c r="D60" t="s">
        <v>49</v>
      </c>
      <c r="E60" t="s">
        <v>16</v>
      </c>
      <c r="F60" t="s">
        <v>211</v>
      </c>
      <c r="G60" t="str">
        <f>TEXT(Table1_1[[#This Row],[Joining_Date]],"mmm")</f>
        <v>Dec</v>
      </c>
      <c r="H60" t="str">
        <f>TEXT(Table1_1[[#This Row],[Joining_Date]],"yyyy")</f>
        <v>2024</v>
      </c>
      <c r="I60" s="1">
        <v>46816</v>
      </c>
      <c r="J60" t="s">
        <v>18</v>
      </c>
      <c r="K60">
        <f>IF(Table1_1[[#This Row],[Status]]="Exited",1,0)</f>
        <v>1</v>
      </c>
      <c r="L60">
        <f>IF(Table1_1[[#This Row],[Status]]="Exited",0,1)</f>
        <v>0</v>
      </c>
      <c r="M60">
        <v>1096378</v>
      </c>
      <c r="N60">
        <v>4.4000000000000004</v>
      </c>
      <c r="O60" t="s">
        <v>19</v>
      </c>
      <c r="P60">
        <v>98.4</v>
      </c>
      <c r="Q60" t="str">
        <f t="shared" si="0"/>
        <v>High</v>
      </c>
      <c r="X60">
        <v>94.1</v>
      </c>
    </row>
    <row r="61" spans="1:24" x14ac:dyDescent="0.3">
      <c r="A61" t="s">
        <v>212</v>
      </c>
      <c r="B61" t="s">
        <v>213</v>
      </c>
      <c r="C61" t="s">
        <v>14</v>
      </c>
      <c r="D61" t="s">
        <v>33</v>
      </c>
      <c r="E61" t="s">
        <v>50</v>
      </c>
      <c r="F61" t="s">
        <v>214</v>
      </c>
      <c r="G61" t="str">
        <f>TEXT(Table1_1[[#This Row],[Joining_Date]],"mmm")</f>
        <v>Jun</v>
      </c>
      <c r="H61" t="str">
        <f>TEXT(Table1_1[[#This Row],[Joining_Date]],"yyyy")</f>
        <v>2021</v>
      </c>
      <c r="I61" s="1">
        <v>44923</v>
      </c>
      <c r="J61" t="s">
        <v>18</v>
      </c>
      <c r="K61">
        <f>IF(Table1_1[[#This Row],[Status]]="Exited",1,0)</f>
        <v>1</v>
      </c>
      <c r="L61">
        <f>IF(Table1_1[[#This Row],[Status]]="Exited",0,1)</f>
        <v>0</v>
      </c>
      <c r="M61">
        <v>1174797</v>
      </c>
      <c r="N61">
        <v>5</v>
      </c>
      <c r="O61" t="s">
        <v>24</v>
      </c>
      <c r="P61">
        <v>85.2</v>
      </c>
      <c r="Q61" t="str">
        <f t="shared" si="0"/>
        <v>High</v>
      </c>
      <c r="X61">
        <v>80.3</v>
      </c>
    </row>
    <row r="62" spans="1:24" x14ac:dyDescent="0.3">
      <c r="A62" t="s">
        <v>215</v>
      </c>
      <c r="B62" t="s">
        <v>216</v>
      </c>
      <c r="C62" t="s">
        <v>37</v>
      </c>
      <c r="D62" t="s">
        <v>10</v>
      </c>
      <c r="E62" t="s">
        <v>27</v>
      </c>
      <c r="F62" t="s">
        <v>217</v>
      </c>
      <c r="G62" t="str">
        <f>TEXT(Table1_1[[#This Row],[Joining_Date]],"mmm")</f>
        <v>Jun</v>
      </c>
      <c r="H62" t="str">
        <f>TEXT(Table1_1[[#This Row],[Joining_Date]],"yyyy")</f>
        <v>2020</v>
      </c>
      <c r="I62" s="1">
        <v>45361</v>
      </c>
      <c r="J62" t="s">
        <v>18</v>
      </c>
      <c r="K62">
        <f>IF(Table1_1[[#This Row],[Status]]="Exited",1,0)</f>
        <v>1</v>
      </c>
      <c r="L62">
        <f>IF(Table1_1[[#This Row],[Status]]="Exited",0,1)</f>
        <v>0</v>
      </c>
      <c r="M62">
        <v>225574</v>
      </c>
      <c r="N62">
        <v>2.6</v>
      </c>
      <c r="O62" t="s">
        <v>24</v>
      </c>
      <c r="P62">
        <v>97.8</v>
      </c>
      <c r="Q62" t="str">
        <f t="shared" si="0"/>
        <v>Low</v>
      </c>
      <c r="X62">
        <v>96.5</v>
      </c>
    </row>
    <row r="63" spans="1:24" x14ac:dyDescent="0.3">
      <c r="A63" t="s">
        <v>218</v>
      </c>
      <c r="B63" t="s">
        <v>219</v>
      </c>
      <c r="C63" t="s">
        <v>22</v>
      </c>
      <c r="D63" t="s">
        <v>49</v>
      </c>
      <c r="E63" t="s">
        <v>45</v>
      </c>
      <c r="F63" t="s">
        <v>220</v>
      </c>
      <c r="G63" t="str">
        <f>TEXT(Table1_1[[#This Row],[Joining_Date]],"mmm")</f>
        <v>Jan</v>
      </c>
      <c r="H63" t="str">
        <f>TEXT(Table1_1[[#This Row],[Joining_Date]],"yyyy")</f>
        <v>2024</v>
      </c>
      <c r="I63" s="1">
        <v>45485</v>
      </c>
      <c r="J63" t="s">
        <v>18</v>
      </c>
      <c r="K63">
        <f>IF(Table1_1[[#This Row],[Status]]="Exited",1,0)</f>
        <v>1</v>
      </c>
      <c r="L63">
        <f>IF(Table1_1[[#This Row],[Status]]="Exited",0,1)</f>
        <v>0</v>
      </c>
      <c r="M63">
        <v>1115489</v>
      </c>
      <c r="N63">
        <v>2.7</v>
      </c>
      <c r="O63" t="s">
        <v>30</v>
      </c>
      <c r="P63">
        <v>85.8</v>
      </c>
      <c r="Q63" t="str">
        <f t="shared" si="0"/>
        <v>Low</v>
      </c>
      <c r="X63">
        <v>78.3</v>
      </c>
    </row>
    <row r="64" spans="1:24" x14ac:dyDescent="0.3">
      <c r="A64" t="s">
        <v>222</v>
      </c>
      <c r="B64" t="s">
        <v>223</v>
      </c>
      <c r="C64" t="s">
        <v>61</v>
      </c>
      <c r="D64" t="s">
        <v>49</v>
      </c>
      <c r="E64" t="s">
        <v>27</v>
      </c>
      <c r="F64" t="s">
        <v>224</v>
      </c>
      <c r="G64" t="str">
        <f>TEXT(Table1_1[[#This Row],[Joining_Date]],"mmm")</f>
        <v>Jul</v>
      </c>
      <c r="H64" t="str">
        <f>TEXT(Table1_1[[#This Row],[Joining_Date]],"yyyy")</f>
        <v>2024</v>
      </c>
      <c r="I64" s="1"/>
      <c r="J64" t="s">
        <v>29</v>
      </c>
      <c r="K64">
        <f>IF(Table1_1[[#This Row],[Status]]="Exited",1,0)</f>
        <v>0</v>
      </c>
      <c r="L64">
        <f>IF(Table1_1[[#This Row],[Status]]="Exited",0,1)</f>
        <v>1</v>
      </c>
      <c r="M64">
        <v>769126</v>
      </c>
      <c r="N64">
        <v>4.7</v>
      </c>
      <c r="O64" t="s">
        <v>30</v>
      </c>
      <c r="P64">
        <v>80.5</v>
      </c>
      <c r="Q64" t="str">
        <f t="shared" si="0"/>
        <v>High</v>
      </c>
      <c r="X64">
        <v>90</v>
      </c>
    </row>
    <row r="65" spans="1:24" x14ac:dyDescent="0.3">
      <c r="A65" t="s">
        <v>225</v>
      </c>
      <c r="B65" t="s">
        <v>226</v>
      </c>
      <c r="C65" t="s">
        <v>61</v>
      </c>
      <c r="D65" t="s">
        <v>49</v>
      </c>
      <c r="E65" t="s">
        <v>50</v>
      </c>
      <c r="F65" t="s">
        <v>227</v>
      </c>
      <c r="G65" t="str">
        <f>TEXT(Table1_1[[#This Row],[Joining_Date]],"mmm")</f>
        <v>Jul</v>
      </c>
      <c r="H65" t="str">
        <f>TEXT(Table1_1[[#This Row],[Joining_Date]],"yyyy")</f>
        <v>2024</v>
      </c>
      <c r="I65" s="1">
        <v>46668</v>
      </c>
      <c r="J65" t="s">
        <v>18</v>
      </c>
      <c r="K65">
        <f>IF(Table1_1[[#This Row],[Status]]="Exited",1,0)</f>
        <v>1</v>
      </c>
      <c r="L65">
        <f>IF(Table1_1[[#This Row],[Status]]="Exited",0,1)</f>
        <v>0</v>
      </c>
      <c r="M65">
        <v>855001</v>
      </c>
      <c r="N65">
        <v>2.2999999999999998</v>
      </c>
      <c r="O65" t="s">
        <v>19</v>
      </c>
      <c r="P65">
        <v>91.9</v>
      </c>
      <c r="Q65" t="str">
        <f t="shared" si="0"/>
        <v>Low</v>
      </c>
      <c r="X65">
        <v>84.7</v>
      </c>
    </row>
    <row r="66" spans="1:24" x14ac:dyDescent="0.3">
      <c r="A66" t="s">
        <v>228</v>
      </c>
      <c r="B66" t="s">
        <v>229</v>
      </c>
      <c r="C66" t="s">
        <v>61</v>
      </c>
      <c r="D66" t="s">
        <v>15</v>
      </c>
      <c r="E66" t="s">
        <v>27</v>
      </c>
      <c r="F66" t="s">
        <v>230</v>
      </c>
      <c r="G66" t="str">
        <f>TEXT(Table1_1[[#This Row],[Joining_Date]],"mmm")</f>
        <v>May</v>
      </c>
      <c r="H66" t="str">
        <f>TEXT(Table1_1[[#This Row],[Joining_Date]],"yyyy")</f>
        <v>2023</v>
      </c>
      <c r="I66" s="1"/>
      <c r="J66" t="s">
        <v>29</v>
      </c>
      <c r="K66">
        <f>IF(Table1_1[[#This Row],[Status]]="Exited",1,0)</f>
        <v>0</v>
      </c>
      <c r="L66">
        <f>IF(Table1_1[[#This Row],[Status]]="Exited",0,1)</f>
        <v>1</v>
      </c>
      <c r="M66">
        <v>974789</v>
      </c>
      <c r="N66">
        <v>2.4</v>
      </c>
      <c r="O66" t="s">
        <v>30</v>
      </c>
      <c r="P66">
        <v>82.2</v>
      </c>
      <c r="Q66" t="str">
        <f t="shared" ref="Q66:Q129" si="1">IF(AND(N66&gt;4,P66&gt;=75),"High",
 IF(AND(N66&gt;2,N66&lt;=4,P66&gt;40,P66&lt;=74),"Average","Low"))</f>
        <v>Low</v>
      </c>
      <c r="X66">
        <v>88.7</v>
      </c>
    </row>
    <row r="67" spans="1:24" x14ac:dyDescent="0.3">
      <c r="A67" t="s">
        <v>231</v>
      </c>
      <c r="B67" t="s">
        <v>232</v>
      </c>
      <c r="C67" t="s">
        <v>14</v>
      </c>
      <c r="D67" t="s">
        <v>10</v>
      </c>
      <c r="E67" t="s">
        <v>27</v>
      </c>
      <c r="F67" t="s">
        <v>233</v>
      </c>
      <c r="G67" t="str">
        <f>TEXT(Table1_1[[#This Row],[Joining_Date]],"mmm")</f>
        <v>Jul</v>
      </c>
      <c r="H67" t="str">
        <f>TEXT(Table1_1[[#This Row],[Joining_Date]],"yyyy")</f>
        <v>2019</v>
      </c>
      <c r="I67" s="1"/>
      <c r="J67" t="s">
        <v>29</v>
      </c>
      <c r="K67">
        <f>IF(Table1_1[[#This Row],[Status]]="Exited",1,0)</f>
        <v>0</v>
      </c>
      <c r="L67">
        <f>IF(Table1_1[[#This Row],[Status]]="Exited",0,1)</f>
        <v>1</v>
      </c>
      <c r="M67">
        <v>881306</v>
      </c>
      <c r="N67">
        <v>3.4</v>
      </c>
      <c r="O67" t="s">
        <v>42</v>
      </c>
      <c r="P67">
        <v>96.3</v>
      </c>
      <c r="Q67" t="str">
        <f t="shared" si="1"/>
        <v>Low</v>
      </c>
      <c r="X67">
        <v>99.7</v>
      </c>
    </row>
    <row r="68" spans="1:24" x14ac:dyDescent="0.3">
      <c r="A68" t="s">
        <v>234</v>
      </c>
      <c r="B68" t="s">
        <v>235</v>
      </c>
      <c r="C68" t="s">
        <v>22</v>
      </c>
      <c r="D68" t="s">
        <v>10</v>
      </c>
      <c r="E68" t="s">
        <v>45</v>
      </c>
      <c r="F68" t="s">
        <v>236</v>
      </c>
      <c r="G68" t="str">
        <f>TEXT(Table1_1[[#This Row],[Joining_Date]],"mmm")</f>
        <v>Jan</v>
      </c>
      <c r="H68" t="str">
        <f>TEXT(Table1_1[[#This Row],[Joining_Date]],"yyyy")</f>
        <v>2021</v>
      </c>
      <c r="I68" s="1"/>
      <c r="J68" t="s">
        <v>29</v>
      </c>
      <c r="K68">
        <f>IF(Table1_1[[#This Row],[Status]]="Exited",1,0)</f>
        <v>0</v>
      </c>
      <c r="L68">
        <f>IF(Table1_1[[#This Row],[Status]]="Exited",0,1)</f>
        <v>1</v>
      </c>
      <c r="M68">
        <v>988413</v>
      </c>
      <c r="N68">
        <v>2.8</v>
      </c>
      <c r="O68" t="s">
        <v>30</v>
      </c>
      <c r="P68">
        <v>97.9</v>
      </c>
      <c r="Q68" t="str">
        <f t="shared" si="1"/>
        <v>Low</v>
      </c>
      <c r="X68">
        <v>99.8</v>
      </c>
    </row>
    <row r="69" spans="1:24" x14ac:dyDescent="0.3">
      <c r="A69" t="s">
        <v>237</v>
      </c>
      <c r="B69" t="s">
        <v>238</v>
      </c>
      <c r="C69" t="s">
        <v>22</v>
      </c>
      <c r="D69" t="s">
        <v>15</v>
      </c>
      <c r="E69" t="s">
        <v>50</v>
      </c>
      <c r="F69" t="s">
        <v>239</v>
      </c>
      <c r="G69" t="str">
        <f>TEXT(Table1_1[[#This Row],[Joining_Date]],"mmm")</f>
        <v>Feb</v>
      </c>
      <c r="H69" t="str">
        <f>TEXT(Table1_1[[#This Row],[Joining_Date]],"yyyy")</f>
        <v>2022</v>
      </c>
      <c r="I69" s="1"/>
      <c r="J69" t="s">
        <v>29</v>
      </c>
      <c r="K69">
        <f>IF(Table1_1[[#This Row],[Status]]="Exited",1,0)</f>
        <v>0</v>
      </c>
      <c r="L69">
        <f>IF(Table1_1[[#This Row],[Status]]="Exited",0,1)</f>
        <v>1</v>
      </c>
      <c r="M69">
        <v>637536</v>
      </c>
      <c r="N69">
        <v>3.1</v>
      </c>
      <c r="O69" t="s">
        <v>19</v>
      </c>
      <c r="P69">
        <v>94.1</v>
      </c>
      <c r="Q69" t="str">
        <f t="shared" si="1"/>
        <v>Low</v>
      </c>
      <c r="X69">
        <v>79.2</v>
      </c>
    </row>
    <row r="70" spans="1:24" x14ac:dyDescent="0.3">
      <c r="A70" t="s">
        <v>240</v>
      </c>
      <c r="B70" t="s">
        <v>241</v>
      </c>
      <c r="C70" t="s">
        <v>54</v>
      </c>
      <c r="D70" t="s">
        <v>10</v>
      </c>
      <c r="E70" t="s">
        <v>45</v>
      </c>
      <c r="F70" t="s">
        <v>242</v>
      </c>
      <c r="G70" t="str">
        <f>TEXT(Table1_1[[#This Row],[Joining_Date]],"mmm")</f>
        <v>Apr</v>
      </c>
      <c r="H70" t="str">
        <f>TEXT(Table1_1[[#This Row],[Joining_Date]],"yyyy")</f>
        <v>2019</v>
      </c>
      <c r="I70" s="1">
        <v>43618</v>
      </c>
      <c r="J70" t="s">
        <v>18</v>
      </c>
      <c r="K70">
        <f>IF(Table1_1[[#This Row],[Status]]="Exited",1,0)</f>
        <v>1</v>
      </c>
      <c r="L70">
        <f>IF(Table1_1[[#This Row],[Status]]="Exited",0,1)</f>
        <v>0</v>
      </c>
      <c r="M70">
        <v>249513</v>
      </c>
      <c r="N70">
        <v>2.9</v>
      </c>
      <c r="O70" t="s">
        <v>24</v>
      </c>
      <c r="P70">
        <v>97.8</v>
      </c>
      <c r="Q70" t="str">
        <f t="shared" si="1"/>
        <v>Low</v>
      </c>
      <c r="X70">
        <v>92.8</v>
      </c>
    </row>
    <row r="71" spans="1:24" x14ac:dyDescent="0.3">
      <c r="A71" t="s">
        <v>243</v>
      </c>
      <c r="B71" t="s">
        <v>244</v>
      </c>
      <c r="C71" t="s">
        <v>54</v>
      </c>
      <c r="D71" t="s">
        <v>15</v>
      </c>
      <c r="E71" t="s">
        <v>50</v>
      </c>
      <c r="F71" t="s">
        <v>245</v>
      </c>
      <c r="G71" t="str">
        <f>TEXT(Table1_1[[#This Row],[Joining_Date]],"mmm")</f>
        <v>Feb</v>
      </c>
      <c r="H71" t="str">
        <f>TEXT(Table1_1[[#This Row],[Joining_Date]],"yyyy")</f>
        <v>2018</v>
      </c>
      <c r="I71" s="1">
        <v>44381</v>
      </c>
      <c r="J71" t="s">
        <v>18</v>
      </c>
      <c r="K71">
        <f>IF(Table1_1[[#This Row],[Status]]="Exited",1,0)</f>
        <v>1</v>
      </c>
      <c r="L71">
        <f>IF(Table1_1[[#This Row],[Status]]="Exited",0,1)</f>
        <v>0</v>
      </c>
      <c r="M71">
        <v>468590</v>
      </c>
      <c r="N71">
        <v>2.7</v>
      </c>
      <c r="O71" t="s">
        <v>19</v>
      </c>
      <c r="P71">
        <v>80.3</v>
      </c>
      <c r="Q71" t="str">
        <f t="shared" si="1"/>
        <v>Low</v>
      </c>
      <c r="X71">
        <v>90.1</v>
      </c>
    </row>
    <row r="72" spans="1:24" x14ac:dyDescent="0.3">
      <c r="A72" t="s">
        <v>246</v>
      </c>
      <c r="B72" t="s">
        <v>247</v>
      </c>
      <c r="C72" t="s">
        <v>14</v>
      </c>
      <c r="D72" t="s">
        <v>33</v>
      </c>
      <c r="E72" t="s">
        <v>45</v>
      </c>
      <c r="F72" t="s">
        <v>248</v>
      </c>
      <c r="G72" t="str">
        <f>TEXT(Table1_1[[#This Row],[Joining_Date]],"mmm")</f>
        <v>Oct</v>
      </c>
      <c r="H72" t="str">
        <f>TEXT(Table1_1[[#This Row],[Joining_Date]],"yyyy")</f>
        <v>2019</v>
      </c>
      <c r="I72" s="1"/>
      <c r="J72" t="s">
        <v>29</v>
      </c>
      <c r="K72">
        <f>IF(Table1_1[[#This Row],[Status]]="Exited",1,0)</f>
        <v>0</v>
      </c>
      <c r="L72">
        <f>IF(Table1_1[[#This Row],[Status]]="Exited",0,1)</f>
        <v>1</v>
      </c>
      <c r="M72">
        <v>795322</v>
      </c>
      <c r="N72">
        <v>4.5999999999999996</v>
      </c>
      <c r="O72" t="s">
        <v>24</v>
      </c>
      <c r="P72">
        <v>96.5</v>
      </c>
      <c r="Q72" t="str">
        <f t="shared" si="1"/>
        <v>High</v>
      </c>
      <c r="X72">
        <v>93.1</v>
      </c>
    </row>
    <row r="73" spans="1:24" x14ac:dyDescent="0.3">
      <c r="A73" t="s">
        <v>249</v>
      </c>
      <c r="B73" t="s">
        <v>250</v>
      </c>
      <c r="C73" t="s">
        <v>37</v>
      </c>
      <c r="D73" t="s">
        <v>10</v>
      </c>
      <c r="E73" t="s">
        <v>45</v>
      </c>
      <c r="F73" t="s">
        <v>251</v>
      </c>
      <c r="G73" t="str">
        <f>TEXT(Table1_1[[#This Row],[Joining_Date]],"mmm")</f>
        <v>Mar</v>
      </c>
      <c r="H73" t="str">
        <f>TEXT(Table1_1[[#This Row],[Joining_Date]],"yyyy")</f>
        <v>2023</v>
      </c>
      <c r="I73" s="1">
        <v>46438</v>
      </c>
      <c r="J73" t="s">
        <v>18</v>
      </c>
      <c r="K73">
        <f>IF(Table1_1[[#This Row],[Status]]="Exited",1,0)</f>
        <v>1</v>
      </c>
      <c r="L73">
        <f>IF(Table1_1[[#This Row],[Status]]="Exited",0,1)</f>
        <v>0</v>
      </c>
      <c r="M73">
        <v>659311</v>
      </c>
      <c r="N73">
        <v>4.5999999999999996</v>
      </c>
      <c r="O73" t="s">
        <v>19</v>
      </c>
      <c r="P73">
        <v>78.3</v>
      </c>
      <c r="Q73" t="str">
        <f t="shared" si="1"/>
        <v>High</v>
      </c>
      <c r="X73">
        <v>78.7</v>
      </c>
    </row>
    <row r="74" spans="1:24" x14ac:dyDescent="0.3">
      <c r="A74" t="s">
        <v>252</v>
      </c>
      <c r="B74" t="s">
        <v>253</v>
      </c>
      <c r="C74" t="s">
        <v>54</v>
      </c>
      <c r="D74" t="s">
        <v>49</v>
      </c>
      <c r="E74" t="s">
        <v>16</v>
      </c>
      <c r="F74" t="s">
        <v>121</v>
      </c>
      <c r="G74" t="str">
        <f>TEXT(Table1_1[[#This Row],[Joining_Date]],"mmm")</f>
        <v>Oct</v>
      </c>
      <c r="H74" t="str">
        <f>TEXT(Table1_1[[#This Row],[Joining_Date]],"yyyy")</f>
        <v>2019</v>
      </c>
      <c r="I74" s="1"/>
      <c r="J74" t="s">
        <v>29</v>
      </c>
      <c r="K74">
        <f>IF(Table1_1[[#This Row],[Status]]="Exited",1,0)</f>
        <v>0</v>
      </c>
      <c r="L74">
        <f>IF(Table1_1[[#This Row],[Status]]="Exited",0,1)</f>
        <v>1</v>
      </c>
      <c r="M74">
        <v>808711</v>
      </c>
      <c r="N74">
        <v>3.5</v>
      </c>
      <c r="O74" t="s">
        <v>42</v>
      </c>
      <c r="P74">
        <v>90</v>
      </c>
      <c r="Q74" t="str">
        <f t="shared" si="1"/>
        <v>Low</v>
      </c>
      <c r="X74">
        <v>87.8</v>
      </c>
    </row>
    <row r="75" spans="1:24" x14ac:dyDescent="0.3">
      <c r="A75" t="s">
        <v>254</v>
      </c>
      <c r="B75" t="s">
        <v>255</v>
      </c>
      <c r="C75" t="s">
        <v>14</v>
      </c>
      <c r="D75" t="s">
        <v>15</v>
      </c>
      <c r="E75" t="s">
        <v>45</v>
      </c>
      <c r="F75" t="s">
        <v>256</v>
      </c>
      <c r="G75" t="str">
        <f>TEXT(Table1_1[[#This Row],[Joining_Date]],"mmm")</f>
        <v>Aug</v>
      </c>
      <c r="H75" t="str">
        <f>TEXT(Table1_1[[#This Row],[Joining_Date]],"yyyy")</f>
        <v>2022</v>
      </c>
      <c r="I75" s="1"/>
      <c r="J75" t="s">
        <v>29</v>
      </c>
      <c r="K75">
        <f>IF(Table1_1[[#This Row],[Status]]="Exited",1,0)</f>
        <v>0</v>
      </c>
      <c r="L75">
        <f>IF(Table1_1[[#This Row],[Status]]="Exited",0,1)</f>
        <v>1</v>
      </c>
      <c r="M75">
        <v>606340</v>
      </c>
      <c r="N75">
        <v>2.5</v>
      </c>
      <c r="O75" t="s">
        <v>19</v>
      </c>
      <c r="P75">
        <v>84.7</v>
      </c>
      <c r="Q75" t="str">
        <f t="shared" si="1"/>
        <v>Low</v>
      </c>
      <c r="X75">
        <v>99.9</v>
      </c>
    </row>
    <row r="76" spans="1:24" x14ac:dyDescent="0.3">
      <c r="A76" t="s">
        <v>257</v>
      </c>
      <c r="B76" t="s">
        <v>258</v>
      </c>
      <c r="C76" t="s">
        <v>37</v>
      </c>
      <c r="D76" t="s">
        <v>10</v>
      </c>
      <c r="E76" t="s">
        <v>50</v>
      </c>
      <c r="F76" t="s">
        <v>259</v>
      </c>
      <c r="G76" t="str">
        <f>TEXT(Table1_1[[#This Row],[Joining_Date]],"mmm")</f>
        <v>Jun</v>
      </c>
      <c r="H76" t="str">
        <f>TEXT(Table1_1[[#This Row],[Joining_Date]],"yyyy")</f>
        <v>2019</v>
      </c>
      <c r="I76" s="1"/>
      <c r="J76" t="s">
        <v>29</v>
      </c>
      <c r="K76">
        <f>IF(Table1_1[[#This Row],[Status]]="Exited",1,0)</f>
        <v>0</v>
      </c>
      <c r="L76">
        <f>IF(Table1_1[[#This Row],[Status]]="Exited",0,1)</f>
        <v>1</v>
      </c>
      <c r="M76">
        <v>257309</v>
      </c>
      <c r="N76">
        <v>2.8</v>
      </c>
      <c r="O76" t="s">
        <v>19</v>
      </c>
      <c r="P76">
        <v>88.7</v>
      </c>
      <c r="Q76" t="str">
        <f t="shared" si="1"/>
        <v>Low</v>
      </c>
      <c r="X76">
        <v>80.7</v>
      </c>
    </row>
    <row r="77" spans="1:24" x14ac:dyDescent="0.3">
      <c r="A77" t="s">
        <v>260</v>
      </c>
      <c r="B77" t="s">
        <v>261</v>
      </c>
      <c r="C77" t="s">
        <v>22</v>
      </c>
      <c r="D77" t="s">
        <v>15</v>
      </c>
      <c r="E77" t="s">
        <v>50</v>
      </c>
      <c r="F77" t="s">
        <v>262</v>
      </c>
      <c r="G77" t="str">
        <f>TEXT(Table1_1[[#This Row],[Joining_Date]],"mmm")</f>
        <v>May</v>
      </c>
      <c r="H77" t="str">
        <f>TEXT(Table1_1[[#This Row],[Joining_Date]],"yyyy")</f>
        <v>2021</v>
      </c>
      <c r="I77" s="1">
        <v>44401</v>
      </c>
      <c r="J77" t="s">
        <v>18</v>
      </c>
      <c r="K77">
        <f>IF(Table1_1[[#This Row],[Status]]="Exited",1,0)</f>
        <v>1</v>
      </c>
      <c r="L77">
        <f>IF(Table1_1[[#This Row],[Status]]="Exited",0,1)</f>
        <v>0</v>
      </c>
      <c r="M77">
        <v>1145797</v>
      </c>
      <c r="N77">
        <v>3.2</v>
      </c>
      <c r="O77" t="s">
        <v>19</v>
      </c>
      <c r="P77">
        <v>98.7</v>
      </c>
      <c r="Q77" t="str">
        <f t="shared" si="1"/>
        <v>Low</v>
      </c>
      <c r="X77">
        <v>75.8</v>
      </c>
    </row>
    <row r="78" spans="1:24" x14ac:dyDescent="0.3">
      <c r="A78" t="s">
        <v>263</v>
      </c>
      <c r="B78" t="s">
        <v>264</v>
      </c>
      <c r="C78" t="s">
        <v>54</v>
      </c>
      <c r="D78" t="s">
        <v>15</v>
      </c>
      <c r="E78" t="s">
        <v>27</v>
      </c>
      <c r="F78" t="s">
        <v>265</v>
      </c>
      <c r="G78" t="str">
        <f>TEXT(Table1_1[[#This Row],[Joining_Date]],"mmm")</f>
        <v>Jun</v>
      </c>
      <c r="H78" t="str">
        <f>TEXT(Table1_1[[#This Row],[Joining_Date]],"yyyy")</f>
        <v>2021</v>
      </c>
      <c r="I78" s="1"/>
      <c r="J78" t="s">
        <v>29</v>
      </c>
      <c r="K78">
        <f>IF(Table1_1[[#This Row],[Status]]="Exited",1,0)</f>
        <v>0</v>
      </c>
      <c r="L78">
        <f>IF(Table1_1[[#This Row],[Status]]="Exited",0,1)</f>
        <v>1</v>
      </c>
      <c r="M78">
        <v>671830</v>
      </c>
      <c r="N78">
        <v>4.7</v>
      </c>
      <c r="O78" t="s">
        <v>30</v>
      </c>
      <c r="P78">
        <v>99.7</v>
      </c>
      <c r="Q78" t="str">
        <f t="shared" si="1"/>
        <v>High</v>
      </c>
      <c r="X78">
        <v>77.099999999999994</v>
      </c>
    </row>
    <row r="79" spans="1:24" x14ac:dyDescent="0.3">
      <c r="A79" t="s">
        <v>266</v>
      </c>
      <c r="B79" t="s">
        <v>267</v>
      </c>
      <c r="C79" t="s">
        <v>37</v>
      </c>
      <c r="D79" t="s">
        <v>15</v>
      </c>
      <c r="E79" t="s">
        <v>27</v>
      </c>
      <c r="F79" t="s">
        <v>268</v>
      </c>
      <c r="G79" t="str">
        <f>TEXT(Table1_1[[#This Row],[Joining_Date]],"mmm")</f>
        <v>Aug</v>
      </c>
      <c r="H79" t="str">
        <f>TEXT(Table1_1[[#This Row],[Joining_Date]],"yyyy")</f>
        <v>2019</v>
      </c>
      <c r="I79" s="1"/>
      <c r="J79" t="s">
        <v>29</v>
      </c>
      <c r="K79">
        <f>IF(Table1_1[[#This Row],[Status]]="Exited",1,0)</f>
        <v>0</v>
      </c>
      <c r="L79">
        <f>IF(Table1_1[[#This Row],[Status]]="Exited",0,1)</f>
        <v>1</v>
      </c>
      <c r="M79">
        <v>1182795</v>
      </c>
      <c r="N79">
        <v>4.4000000000000004</v>
      </c>
      <c r="O79" t="s">
        <v>30</v>
      </c>
      <c r="P79">
        <v>99.8</v>
      </c>
      <c r="Q79" t="str">
        <f t="shared" si="1"/>
        <v>High</v>
      </c>
      <c r="X79">
        <v>81.5</v>
      </c>
    </row>
    <row r="80" spans="1:24" x14ac:dyDescent="0.3">
      <c r="A80" t="s">
        <v>269</v>
      </c>
      <c r="B80" t="s">
        <v>270</v>
      </c>
      <c r="C80" t="s">
        <v>14</v>
      </c>
      <c r="D80" t="s">
        <v>10</v>
      </c>
      <c r="E80" t="s">
        <v>16</v>
      </c>
      <c r="F80" t="s">
        <v>271</v>
      </c>
      <c r="G80" t="str">
        <f>TEXT(Table1_1[[#This Row],[Joining_Date]],"mmm")</f>
        <v>Apr</v>
      </c>
      <c r="H80" t="str">
        <f>TEXT(Table1_1[[#This Row],[Joining_Date]],"yyyy")</f>
        <v>2023</v>
      </c>
      <c r="I80" s="1"/>
      <c r="J80" t="s">
        <v>29</v>
      </c>
      <c r="K80">
        <f>IF(Table1_1[[#This Row],[Status]]="Exited",1,0)</f>
        <v>0</v>
      </c>
      <c r="L80">
        <f>IF(Table1_1[[#This Row],[Status]]="Exited",0,1)</f>
        <v>1</v>
      </c>
      <c r="M80">
        <v>1185916</v>
      </c>
      <c r="N80">
        <v>4.2</v>
      </c>
      <c r="O80" t="s">
        <v>42</v>
      </c>
      <c r="P80">
        <v>79.2</v>
      </c>
      <c r="Q80" t="str">
        <f t="shared" si="1"/>
        <v>High</v>
      </c>
      <c r="X80">
        <v>88.9</v>
      </c>
    </row>
    <row r="81" spans="1:24" x14ac:dyDescent="0.3">
      <c r="A81" t="s">
        <v>272</v>
      </c>
      <c r="B81" t="s">
        <v>273</v>
      </c>
      <c r="C81" t="s">
        <v>61</v>
      </c>
      <c r="D81" t="s">
        <v>10</v>
      </c>
      <c r="E81" t="s">
        <v>45</v>
      </c>
      <c r="F81" t="s">
        <v>274</v>
      </c>
      <c r="G81" t="str">
        <f>TEXT(Table1_1[[#This Row],[Joining_Date]],"mmm")</f>
        <v>May</v>
      </c>
      <c r="H81" t="str">
        <f>TEXT(Table1_1[[#This Row],[Joining_Date]],"yyyy")</f>
        <v>2021</v>
      </c>
      <c r="I81" s="1">
        <v>44653</v>
      </c>
      <c r="J81" t="s">
        <v>18</v>
      </c>
      <c r="K81">
        <f>IF(Table1_1[[#This Row],[Status]]="Exited",1,0)</f>
        <v>1</v>
      </c>
      <c r="L81">
        <f>IF(Table1_1[[#This Row],[Status]]="Exited",0,1)</f>
        <v>0</v>
      </c>
      <c r="M81">
        <v>738299</v>
      </c>
      <c r="N81">
        <v>3.6</v>
      </c>
      <c r="O81" t="s">
        <v>19</v>
      </c>
      <c r="P81">
        <v>92.8</v>
      </c>
      <c r="Q81" t="str">
        <f t="shared" si="1"/>
        <v>Low</v>
      </c>
      <c r="X81">
        <v>98.5</v>
      </c>
    </row>
    <row r="82" spans="1:24" x14ac:dyDescent="0.3">
      <c r="A82" t="s">
        <v>275</v>
      </c>
      <c r="B82" t="s">
        <v>276</v>
      </c>
      <c r="C82" t="s">
        <v>61</v>
      </c>
      <c r="D82" t="s">
        <v>10</v>
      </c>
      <c r="E82" t="s">
        <v>27</v>
      </c>
      <c r="F82" t="s">
        <v>277</v>
      </c>
      <c r="G82" t="str">
        <f>TEXT(Table1_1[[#This Row],[Joining_Date]],"mmm")</f>
        <v>Feb</v>
      </c>
      <c r="H82" t="str">
        <f>TEXT(Table1_1[[#This Row],[Joining_Date]],"yyyy")</f>
        <v>2022</v>
      </c>
      <c r="I82" s="1">
        <v>44664</v>
      </c>
      <c r="J82" t="s">
        <v>18</v>
      </c>
      <c r="K82">
        <f>IF(Table1_1[[#This Row],[Status]]="Exited",1,0)</f>
        <v>1</v>
      </c>
      <c r="L82">
        <f>IF(Table1_1[[#This Row],[Status]]="Exited",0,1)</f>
        <v>0</v>
      </c>
      <c r="M82">
        <v>747912</v>
      </c>
      <c r="N82">
        <v>2.2999999999999998</v>
      </c>
      <c r="O82" t="s">
        <v>24</v>
      </c>
      <c r="P82">
        <v>90.1</v>
      </c>
      <c r="Q82" t="str">
        <f t="shared" si="1"/>
        <v>Low</v>
      </c>
      <c r="X82">
        <v>78.599999999999994</v>
      </c>
    </row>
    <row r="83" spans="1:24" x14ac:dyDescent="0.3">
      <c r="A83" t="s">
        <v>278</v>
      </c>
      <c r="B83" t="s">
        <v>279</v>
      </c>
      <c r="C83" t="s">
        <v>61</v>
      </c>
      <c r="D83" t="s">
        <v>33</v>
      </c>
      <c r="E83" t="s">
        <v>27</v>
      </c>
      <c r="F83" t="s">
        <v>280</v>
      </c>
      <c r="G83" t="str">
        <f>TEXT(Table1_1[[#This Row],[Joining_Date]],"mmm")</f>
        <v>Aug</v>
      </c>
      <c r="H83" t="str">
        <f>TEXT(Table1_1[[#This Row],[Joining_Date]],"yyyy")</f>
        <v>2021</v>
      </c>
      <c r="I83" s="1">
        <v>44928</v>
      </c>
      <c r="J83" t="s">
        <v>18</v>
      </c>
      <c r="K83">
        <f>IF(Table1_1[[#This Row],[Status]]="Exited",1,0)</f>
        <v>1</v>
      </c>
      <c r="L83">
        <f>IF(Table1_1[[#This Row],[Status]]="Exited",0,1)</f>
        <v>0</v>
      </c>
      <c r="M83">
        <v>463449</v>
      </c>
      <c r="N83">
        <v>4.5999999999999996</v>
      </c>
      <c r="O83" t="s">
        <v>42</v>
      </c>
      <c r="P83">
        <v>93.1</v>
      </c>
      <c r="Q83" t="str">
        <f t="shared" si="1"/>
        <v>High</v>
      </c>
      <c r="X83">
        <v>87.9</v>
      </c>
    </row>
    <row r="84" spans="1:24" x14ac:dyDescent="0.3">
      <c r="A84" t="s">
        <v>281</v>
      </c>
      <c r="B84" t="s">
        <v>282</v>
      </c>
      <c r="C84" t="s">
        <v>54</v>
      </c>
      <c r="D84" t="s">
        <v>10</v>
      </c>
      <c r="E84" t="s">
        <v>50</v>
      </c>
      <c r="F84" t="s">
        <v>283</v>
      </c>
      <c r="G84" t="str">
        <f>TEXT(Table1_1[[#This Row],[Joining_Date]],"mmm")</f>
        <v>May</v>
      </c>
      <c r="H84" t="str">
        <f>TEXT(Table1_1[[#This Row],[Joining_Date]],"yyyy")</f>
        <v>2018</v>
      </c>
      <c r="I84" s="1"/>
      <c r="J84" t="s">
        <v>29</v>
      </c>
      <c r="K84">
        <f>IF(Table1_1[[#This Row],[Status]]="Exited",1,0)</f>
        <v>0</v>
      </c>
      <c r="L84">
        <f>IF(Table1_1[[#This Row],[Status]]="Exited",0,1)</f>
        <v>1</v>
      </c>
      <c r="M84">
        <v>795261</v>
      </c>
      <c r="N84">
        <v>4.3</v>
      </c>
      <c r="O84" t="s">
        <v>30</v>
      </c>
      <c r="P84">
        <v>84.2</v>
      </c>
      <c r="Q84" t="str">
        <f t="shared" si="1"/>
        <v>High</v>
      </c>
      <c r="X84">
        <v>81.599999999999994</v>
      </c>
    </row>
    <row r="85" spans="1:24" x14ac:dyDescent="0.3">
      <c r="A85" t="s">
        <v>284</v>
      </c>
      <c r="B85" t="s">
        <v>285</v>
      </c>
      <c r="C85" t="s">
        <v>54</v>
      </c>
      <c r="D85" t="s">
        <v>10</v>
      </c>
      <c r="E85" t="s">
        <v>45</v>
      </c>
      <c r="F85" t="s">
        <v>286</v>
      </c>
      <c r="G85" t="str">
        <f>TEXT(Table1_1[[#This Row],[Joining_Date]],"mmm")</f>
        <v>Jul</v>
      </c>
      <c r="H85" t="str">
        <f>TEXT(Table1_1[[#This Row],[Joining_Date]],"yyyy")</f>
        <v>2023</v>
      </c>
      <c r="I85" s="1">
        <v>46377</v>
      </c>
      <c r="J85" t="s">
        <v>18</v>
      </c>
      <c r="K85">
        <f>IF(Table1_1[[#This Row],[Status]]="Exited",1,0)</f>
        <v>1</v>
      </c>
      <c r="L85">
        <f>IF(Table1_1[[#This Row],[Status]]="Exited",0,1)</f>
        <v>0</v>
      </c>
      <c r="M85">
        <v>571470</v>
      </c>
      <c r="N85">
        <v>3.4</v>
      </c>
      <c r="O85" t="s">
        <v>42</v>
      </c>
      <c r="P85">
        <v>78.7</v>
      </c>
      <c r="Q85" t="str">
        <f t="shared" si="1"/>
        <v>Low</v>
      </c>
      <c r="X85">
        <v>80.400000000000006</v>
      </c>
    </row>
    <row r="86" spans="1:24" x14ac:dyDescent="0.3">
      <c r="A86" t="s">
        <v>287</v>
      </c>
      <c r="B86" t="s">
        <v>288</v>
      </c>
      <c r="C86" t="s">
        <v>22</v>
      </c>
      <c r="D86" t="s">
        <v>15</v>
      </c>
      <c r="E86" t="s">
        <v>45</v>
      </c>
      <c r="F86" t="s">
        <v>289</v>
      </c>
      <c r="G86" t="str">
        <f>TEXT(Table1_1[[#This Row],[Joining_Date]],"mmm")</f>
        <v>May</v>
      </c>
      <c r="H86" t="str">
        <f>TEXT(Table1_1[[#This Row],[Joining_Date]],"yyyy")</f>
        <v>2020</v>
      </c>
      <c r="I86" s="1"/>
      <c r="J86" t="s">
        <v>29</v>
      </c>
      <c r="K86">
        <f>IF(Table1_1[[#This Row],[Status]]="Exited",1,0)</f>
        <v>0</v>
      </c>
      <c r="L86">
        <f>IF(Table1_1[[#This Row],[Status]]="Exited",0,1)</f>
        <v>1</v>
      </c>
      <c r="M86">
        <v>779167</v>
      </c>
      <c r="N86">
        <v>3.9</v>
      </c>
      <c r="O86" t="s">
        <v>30</v>
      </c>
      <c r="P86">
        <v>87.8</v>
      </c>
      <c r="Q86" t="str">
        <f t="shared" si="1"/>
        <v>Low</v>
      </c>
      <c r="X86">
        <v>81.400000000000006</v>
      </c>
    </row>
    <row r="87" spans="1:24" x14ac:dyDescent="0.3">
      <c r="A87" t="s">
        <v>290</v>
      </c>
      <c r="B87" t="s">
        <v>291</v>
      </c>
      <c r="C87" t="s">
        <v>22</v>
      </c>
      <c r="D87" t="s">
        <v>49</v>
      </c>
      <c r="E87" t="s">
        <v>45</v>
      </c>
      <c r="F87" t="s">
        <v>292</v>
      </c>
      <c r="G87" t="str">
        <f>TEXT(Table1_1[[#This Row],[Joining_Date]],"mmm")</f>
        <v>Nov</v>
      </c>
      <c r="H87" t="str">
        <f>TEXT(Table1_1[[#This Row],[Joining_Date]],"yyyy")</f>
        <v>2023</v>
      </c>
      <c r="I87" s="1">
        <v>45756</v>
      </c>
      <c r="J87" t="s">
        <v>18</v>
      </c>
      <c r="K87">
        <f>IF(Table1_1[[#This Row],[Status]]="Exited",1,0)</f>
        <v>1</v>
      </c>
      <c r="L87">
        <f>IF(Table1_1[[#This Row],[Status]]="Exited",0,1)</f>
        <v>0</v>
      </c>
      <c r="M87">
        <v>784680</v>
      </c>
      <c r="N87">
        <v>4.5</v>
      </c>
      <c r="O87" t="s">
        <v>30</v>
      </c>
      <c r="P87">
        <v>99.9</v>
      </c>
      <c r="Q87" t="str">
        <f t="shared" si="1"/>
        <v>High</v>
      </c>
      <c r="X87">
        <v>86</v>
      </c>
    </row>
    <row r="88" spans="1:24" x14ac:dyDescent="0.3">
      <c r="A88" t="s">
        <v>293</v>
      </c>
      <c r="B88" t="s">
        <v>294</v>
      </c>
      <c r="C88" t="s">
        <v>61</v>
      </c>
      <c r="D88" t="s">
        <v>33</v>
      </c>
      <c r="E88" t="s">
        <v>45</v>
      </c>
      <c r="F88" t="s">
        <v>295</v>
      </c>
      <c r="G88" t="str">
        <f>TEXT(Table1_1[[#This Row],[Joining_Date]],"mmm")</f>
        <v>Aug</v>
      </c>
      <c r="H88" t="str">
        <f>TEXT(Table1_1[[#This Row],[Joining_Date]],"yyyy")</f>
        <v>2023</v>
      </c>
      <c r="I88" s="1">
        <v>45747</v>
      </c>
      <c r="J88" t="s">
        <v>18</v>
      </c>
      <c r="K88">
        <f>IF(Table1_1[[#This Row],[Status]]="Exited",1,0)</f>
        <v>1</v>
      </c>
      <c r="L88">
        <f>IF(Table1_1[[#This Row],[Status]]="Exited",0,1)</f>
        <v>0</v>
      </c>
      <c r="M88">
        <v>883438</v>
      </c>
      <c r="N88">
        <v>2.7</v>
      </c>
      <c r="O88" t="s">
        <v>30</v>
      </c>
      <c r="P88">
        <v>80.7</v>
      </c>
      <c r="Q88" t="str">
        <f t="shared" si="1"/>
        <v>Low</v>
      </c>
      <c r="X88">
        <v>84.9</v>
      </c>
    </row>
    <row r="89" spans="1:24" x14ac:dyDescent="0.3">
      <c r="A89" t="s">
        <v>296</v>
      </c>
      <c r="B89" t="s">
        <v>297</v>
      </c>
      <c r="C89" t="s">
        <v>61</v>
      </c>
      <c r="D89" t="s">
        <v>33</v>
      </c>
      <c r="E89" t="s">
        <v>50</v>
      </c>
      <c r="F89" t="s">
        <v>298</v>
      </c>
      <c r="G89" t="str">
        <f>TEXT(Table1_1[[#This Row],[Joining_Date]],"mmm")</f>
        <v>Jul</v>
      </c>
      <c r="H89" t="str">
        <f>TEXT(Table1_1[[#This Row],[Joining_Date]],"yyyy")</f>
        <v>2024</v>
      </c>
      <c r="I89" s="1">
        <v>45716</v>
      </c>
      <c r="J89" t="s">
        <v>18</v>
      </c>
      <c r="K89">
        <f>IF(Table1_1[[#This Row],[Status]]="Exited",1,0)</f>
        <v>1</v>
      </c>
      <c r="L89">
        <f>IF(Table1_1[[#This Row],[Status]]="Exited",0,1)</f>
        <v>0</v>
      </c>
      <c r="M89">
        <v>1087155</v>
      </c>
      <c r="N89">
        <v>4.2</v>
      </c>
      <c r="O89" t="s">
        <v>30</v>
      </c>
      <c r="P89">
        <v>75.8</v>
      </c>
      <c r="Q89" t="str">
        <f t="shared" si="1"/>
        <v>High</v>
      </c>
      <c r="X89">
        <v>78.400000000000006</v>
      </c>
    </row>
    <row r="90" spans="1:24" x14ac:dyDescent="0.3">
      <c r="A90" t="s">
        <v>299</v>
      </c>
      <c r="B90" t="s">
        <v>300</v>
      </c>
      <c r="C90" t="s">
        <v>37</v>
      </c>
      <c r="D90" t="s">
        <v>33</v>
      </c>
      <c r="E90" t="s">
        <v>45</v>
      </c>
      <c r="F90" t="s">
        <v>301</v>
      </c>
      <c r="G90" t="str">
        <f>TEXT(Table1_1[[#This Row],[Joining_Date]],"mmm")</f>
        <v>Sep</v>
      </c>
      <c r="H90" t="str">
        <f>TEXT(Table1_1[[#This Row],[Joining_Date]],"yyyy")</f>
        <v>2024</v>
      </c>
      <c r="I90" s="1"/>
      <c r="J90" t="s">
        <v>29</v>
      </c>
      <c r="K90">
        <f>IF(Table1_1[[#This Row],[Status]]="Exited",1,0)</f>
        <v>0</v>
      </c>
      <c r="L90">
        <f>IF(Table1_1[[#This Row],[Status]]="Exited",0,1)</f>
        <v>1</v>
      </c>
      <c r="M90">
        <v>259947</v>
      </c>
      <c r="N90">
        <v>3.6</v>
      </c>
      <c r="O90" t="s">
        <v>19</v>
      </c>
      <c r="P90">
        <v>77.099999999999994</v>
      </c>
      <c r="Q90" t="str">
        <f t="shared" si="1"/>
        <v>Low</v>
      </c>
      <c r="X90">
        <v>76.099999999999994</v>
      </c>
    </row>
    <row r="91" spans="1:24" x14ac:dyDescent="0.3">
      <c r="A91" t="s">
        <v>302</v>
      </c>
      <c r="B91" t="s">
        <v>303</v>
      </c>
      <c r="C91" t="s">
        <v>61</v>
      </c>
      <c r="D91" t="s">
        <v>49</v>
      </c>
      <c r="E91" t="s">
        <v>50</v>
      </c>
      <c r="F91" t="s">
        <v>304</v>
      </c>
      <c r="G91" t="str">
        <f>TEXT(Table1_1[[#This Row],[Joining_Date]],"mmm")</f>
        <v>Jan</v>
      </c>
      <c r="H91" t="str">
        <f>TEXT(Table1_1[[#This Row],[Joining_Date]],"yyyy")</f>
        <v>2018</v>
      </c>
      <c r="I91" s="1">
        <v>44153</v>
      </c>
      <c r="J91" t="s">
        <v>18</v>
      </c>
      <c r="K91">
        <f>IF(Table1_1[[#This Row],[Status]]="Exited",1,0)</f>
        <v>1</v>
      </c>
      <c r="L91">
        <f>IF(Table1_1[[#This Row],[Status]]="Exited",0,1)</f>
        <v>0</v>
      </c>
      <c r="M91">
        <v>1170208</v>
      </c>
      <c r="N91">
        <v>4.8</v>
      </c>
      <c r="O91" t="s">
        <v>19</v>
      </c>
      <c r="P91">
        <v>81.5</v>
      </c>
      <c r="Q91" t="str">
        <f t="shared" si="1"/>
        <v>High</v>
      </c>
      <c r="X91">
        <v>80.900000000000006</v>
      </c>
    </row>
    <row r="92" spans="1:24" x14ac:dyDescent="0.3">
      <c r="A92" t="s">
        <v>306</v>
      </c>
      <c r="B92" t="s">
        <v>307</v>
      </c>
      <c r="C92" t="s">
        <v>37</v>
      </c>
      <c r="D92" t="s">
        <v>10</v>
      </c>
      <c r="E92" t="s">
        <v>45</v>
      </c>
      <c r="F92" t="s">
        <v>308</v>
      </c>
      <c r="G92" t="str">
        <f>TEXT(Table1_1[[#This Row],[Joining_Date]],"mmm")</f>
        <v>Jul</v>
      </c>
      <c r="H92" t="str">
        <f>TEXT(Table1_1[[#This Row],[Joining_Date]],"yyyy")</f>
        <v>2021</v>
      </c>
      <c r="I92" s="1"/>
      <c r="J92" t="s">
        <v>29</v>
      </c>
      <c r="K92">
        <f>IF(Table1_1[[#This Row],[Status]]="Exited",1,0)</f>
        <v>0</v>
      </c>
      <c r="L92">
        <f>IF(Table1_1[[#This Row],[Status]]="Exited",0,1)</f>
        <v>1</v>
      </c>
      <c r="M92">
        <v>1164044</v>
      </c>
      <c r="N92">
        <v>3.2</v>
      </c>
      <c r="O92" t="s">
        <v>19</v>
      </c>
      <c r="P92">
        <v>88.9</v>
      </c>
      <c r="Q92" t="str">
        <f t="shared" si="1"/>
        <v>Low</v>
      </c>
      <c r="X92">
        <v>80.8</v>
      </c>
    </row>
    <row r="93" spans="1:24" x14ac:dyDescent="0.3">
      <c r="A93" t="s">
        <v>309</v>
      </c>
      <c r="B93" t="s">
        <v>310</v>
      </c>
      <c r="C93" t="s">
        <v>61</v>
      </c>
      <c r="D93" t="s">
        <v>10</v>
      </c>
      <c r="E93" t="s">
        <v>45</v>
      </c>
      <c r="F93" t="s">
        <v>311</v>
      </c>
      <c r="G93" t="str">
        <f>TEXT(Table1_1[[#This Row],[Joining_Date]],"mmm")</f>
        <v>Jul</v>
      </c>
      <c r="H93" t="str">
        <f>TEXT(Table1_1[[#This Row],[Joining_Date]],"yyyy")</f>
        <v>2019</v>
      </c>
      <c r="I93" s="1"/>
      <c r="J93" t="s">
        <v>29</v>
      </c>
      <c r="K93">
        <f>IF(Table1_1[[#This Row],[Status]]="Exited",1,0)</f>
        <v>0</v>
      </c>
      <c r="L93">
        <f>IF(Table1_1[[#This Row],[Status]]="Exited",0,1)</f>
        <v>1</v>
      </c>
      <c r="M93">
        <v>646270</v>
      </c>
      <c r="N93">
        <v>3.5</v>
      </c>
      <c r="O93" t="s">
        <v>24</v>
      </c>
      <c r="P93">
        <v>98.5</v>
      </c>
      <c r="Q93" t="str">
        <f t="shared" si="1"/>
        <v>Low</v>
      </c>
      <c r="X93">
        <v>83.5</v>
      </c>
    </row>
    <row r="94" spans="1:24" x14ac:dyDescent="0.3">
      <c r="A94" t="s">
        <v>312</v>
      </c>
      <c r="B94" t="s">
        <v>313</v>
      </c>
      <c r="C94" t="s">
        <v>22</v>
      </c>
      <c r="D94" t="s">
        <v>10</v>
      </c>
      <c r="E94" t="s">
        <v>27</v>
      </c>
      <c r="F94" t="s">
        <v>314</v>
      </c>
      <c r="G94" t="str">
        <f>TEXT(Table1_1[[#This Row],[Joining_Date]],"mmm")</f>
        <v>Sep</v>
      </c>
      <c r="H94" t="str">
        <f>TEXT(Table1_1[[#This Row],[Joining_Date]],"yyyy")</f>
        <v>2018</v>
      </c>
      <c r="I94" s="1"/>
      <c r="J94" t="s">
        <v>29</v>
      </c>
      <c r="K94">
        <f>IF(Table1_1[[#This Row],[Status]]="Exited",1,0)</f>
        <v>0</v>
      </c>
      <c r="L94">
        <f>IF(Table1_1[[#This Row],[Status]]="Exited",0,1)</f>
        <v>1</v>
      </c>
      <c r="M94">
        <v>998482</v>
      </c>
      <c r="N94">
        <v>4.5999999999999996</v>
      </c>
      <c r="O94" t="s">
        <v>19</v>
      </c>
      <c r="P94">
        <v>78.599999999999994</v>
      </c>
      <c r="Q94" t="str">
        <f t="shared" si="1"/>
        <v>High</v>
      </c>
      <c r="X94">
        <v>81.8</v>
      </c>
    </row>
    <row r="95" spans="1:24" x14ac:dyDescent="0.3">
      <c r="A95" t="s">
        <v>315</v>
      </c>
      <c r="B95" t="s">
        <v>316</v>
      </c>
      <c r="C95" t="s">
        <v>54</v>
      </c>
      <c r="D95" t="s">
        <v>10</v>
      </c>
      <c r="E95" t="s">
        <v>27</v>
      </c>
      <c r="F95" t="s">
        <v>317</v>
      </c>
      <c r="G95" t="str">
        <f>TEXT(Table1_1[[#This Row],[Joining_Date]],"mmm")</f>
        <v>Jul</v>
      </c>
      <c r="H95" t="str">
        <f>TEXT(Table1_1[[#This Row],[Joining_Date]],"yyyy")</f>
        <v>2020</v>
      </c>
      <c r="I95" s="1"/>
      <c r="J95" t="s">
        <v>29</v>
      </c>
      <c r="K95">
        <f>IF(Table1_1[[#This Row],[Status]]="Exited",1,0)</f>
        <v>0</v>
      </c>
      <c r="L95">
        <f>IF(Table1_1[[#This Row],[Status]]="Exited",0,1)</f>
        <v>1</v>
      </c>
      <c r="M95">
        <v>403498</v>
      </c>
      <c r="N95">
        <v>2.2999999999999998</v>
      </c>
      <c r="O95" t="s">
        <v>19</v>
      </c>
      <c r="P95">
        <v>87.9</v>
      </c>
      <c r="Q95" t="str">
        <f t="shared" si="1"/>
        <v>Low</v>
      </c>
      <c r="X95">
        <v>79.5</v>
      </c>
    </row>
    <row r="96" spans="1:24" x14ac:dyDescent="0.3">
      <c r="A96" t="s">
        <v>318</v>
      </c>
      <c r="B96" t="s">
        <v>319</v>
      </c>
      <c r="C96" t="s">
        <v>37</v>
      </c>
      <c r="D96" t="s">
        <v>15</v>
      </c>
      <c r="E96" t="s">
        <v>45</v>
      </c>
      <c r="F96" t="s">
        <v>320</v>
      </c>
      <c r="G96" t="str">
        <f>TEXT(Table1_1[[#This Row],[Joining_Date]],"mmm")</f>
        <v>Mar</v>
      </c>
      <c r="H96" t="str">
        <f>TEXT(Table1_1[[#This Row],[Joining_Date]],"yyyy")</f>
        <v>2021</v>
      </c>
      <c r="I96" s="1"/>
      <c r="J96" t="s">
        <v>29</v>
      </c>
      <c r="K96">
        <f>IF(Table1_1[[#This Row],[Status]]="Exited",1,0)</f>
        <v>0</v>
      </c>
      <c r="L96">
        <f>IF(Table1_1[[#This Row],[Status]]="Exited",0,1)</f>
        <v>1</v>
      </c>
      <c r="M96">
        <v>1193556</v>
      </c>
      <c r="N96">
        <v>2.6</v>
      </c>
      <c r="O96" t="s">
        <v>24</v>
      </c>
      <c r="P96">
        <v>76.400000000000006</v>
      </c>
      <c r="Q96" t="str">
        <f t="shared" si="1"/>
        <v>Low</v>
      </c>
      <c r="X96">
        <v>93.8</v>
      </c>
    </row>
    <row r="97" spans="1:24" x14ac:dyDescent="0.3">
      <c r="A97" t="s">
        <v>321</v>
      </c>
      <c r="B97" t="s">
        <v>322</v>
      </c>
      <c r="C97" t="s">
        <v>37</v>
      </c>
      <c r="D97" t="s">
        <v>10</v>
      </c>
      <c r="E97" t="s">
        <v>27</v>
      </c>
      <c r="F97" t="s">
        <v>323</v>
      </c>
      <c r="G97" t="str">
        <f>TEXT(Table1_1[[#This Row],[Joining_Date]],"mmm")</f>
        <v>Jun</v>
      </c>
      <c r="H97" t="str">
        <f>TEXT(Table1_1[[#This Row],[Joining_Date]],"yyyy")</f>
        <v>2022</v>
      </c>
      <c r="I97" s="1">
        <v>46159</v>
      </c>
      <c r="J97" t="s">
        <v>18</v>
      </c>
      <c r="K97">
        <f>IF(Table1_1[[#This Row],[Status]]="Exited",1,0)</f>
        <v>1</v>
      </c>
      <c r="L97">
        <f>IF(Table1_1[[#This Row],[Status]]="Exited",0,1)</f>
        <v>0</v>
      </c>
      <c r="M97">
        <v>851139</v>
      </c>
      <c r="N97">
        <v>2.5</v>
      </c>
      <c r="O97" t="s">
        <v>19</v>
      </c>
      <c r="P97">
        <v>81.599999999999994</v>
      </c>
      <c r="Q97" t="str">
        <f t="shared" si="1"/>
        <v>Low</v>
      </c>
      <c r="X97">
        <v>98.2</v>
      </c>
    </row>
    <row r="98" spans="1:24" x14ac:dyDescent="0.3">
      <c r="A98" t="s">
        <v>324</v>
      </c>
      <c r="B98" t="s">
        <v>325</v>
      </c>
      <c r="C98" t="s">
        <v>37</v>
      </c>
      <c r="D98" t="s">
        <v>10</v>
      </c>
      <c r="E98" t="s">
        <v>50</v>
      </c>
      <c r="F98" t="s">
        <v>326</v>
      </c>
      <c r="G98" t="str">
        <f>TEXT(Table1_1[[#This Row],[Joining_Date]],"mmm")</f>
        <v>Jun</v>
      </c>
      <c r="H98" t="str">
        <f>TEXT(Table1_1[[#This Row],[Joining_Date]],"yyyy")</f>
        <v>2019</v>
      </c>
      <c r="I98" s="1"/>
      <c r="J98" t="s">
        <v>29</v>
      </c>
      <c r="K98">
        <f>IF(Table1_1[[#This Row],[Status]]="Exited",1,0)</f>
        <v>0</v>
      </c>
      <c r="L98">
        <f>IF(Table1_1[[#This Row],[Status]]="Exited",0,1)</f>
        <v>1</v>
      </c>
      <c r="M98">
        <v>413952</v>
      </c>
      <c r="N98">
        <v>2.7</v>
      </c>
      <c r="O98" t="s">
        <v>19</v>
      </c>
      <c r="P98">
        <v>80.400000000000006</v>
      </c>
      <c r="Q98" t="str">
        <f t="shared" si="1"/>
        <v>Low</v>
      </c>
      <c r="X98">
        <v>97.7</v>
      </c>
    </row>
    <row r="99" spans="1:24" x14ac:dyDescent="0.3">
      <c r="A99" t="s">
        <v>327</v>
      </c>
      <c r="B99" t="s">
        <v>328</v>
      </c>
      <c r="C99" t="s">
        <v>54</v>
      </c>
      <c r="D99" t="s">
        <v>49</v>
      </c>
      <c r="E99" t="s">
        <v>16</v>
      </c>
      <c r="F99" t="s">
        <v>329</v>
      </c>
      <c r="G99" t="str">
        <f>TEXT(Table1_1[[#This Row],[Joining_Date]],"mmm")</f>
        <v>Mar</v>
      </c>
      <c r="H99" t="str">
        <f>TEXT(Table1_1[[#This Row],[Joining_Date]],"yyyy")</f>
        <v>2018</v>
      </c>
      <c r="I99" s="1">
        <v>44466</v>
      </c>
      <c r="J99" t="s">
        <v>18</v>
      </c>
      <c r="K99">
        <f>IF(Table1_1[[#This Row],[Status]]="Exited",1,0)</f>
        <v>1</v>
      </c>
      <c r="L99">
        <f>IF(Table1_1[[#This Row],[Status]]="Exited",0,1)</f>
        <v>0</v>
      </c>
      <c r="M99">
        <v>1096076</v>
      </c>
      <c r="N99">
        <v>2.2000000000000002</v>
      </c>
      <c r="O99" t="s">
        <v>30</v>
      </c>
      <c r="P99">
        <v>81.400000000000006</v>
      </c>
      <c r="Q99" t="str">
        <f t="shared" si="1"/>
        <v>Low</v>
      </c>
      <c r="X99">
        <v>76.900000000000006</v>
      </c>
    </row>
    <row r="100" spans="1:24" x14ac:dyDescent="0.3">
      <c r="A100" t="s">
        <v>331</v>
      </c>
      <c r="B100" t="s">
        <v>332</v>
      </c>
      <c r="C100" t="s">
        <v>61</v>
      </c>
      <c r="D100" t="s">
        <v>49</v>
      </c>
      <c r="E100" t="s">
        <v>45</v>
      </c>
      <c r="F100" t="s">
        <v>333</v>
      </c>
      <c r="G100" t="str">
        <f>TEXT(Table1_1[[#This Row],[Joining_Date]],"mmm")</f>
        <v>Jul</v>
      </c>
      <c r="H100" t="str">
        <f>TEXT(Table1_1[[#This Row],[Joining_Date]],"yyyy")</f>
        <v>2018</v>
      </c>
      <c r="I100" s="1">
        <v>43723</v>
      </c>
      <c r="J100" t="s">
        <v>18</v>
      </c>
      <c r="K100">
        <f>IF(Table1_1[[#This Row],[Status]]="Exited",1,0)</f>
        <v>1</v>
      </c>
      <c r="L100">
        <f>IF(Table1_1[[#This Row],[Status]]="Exited",0,1)</f>
        <v>0</v>
      </c>
      <c r="M100">
        <v>967386</v>
      </c>
      <c r="N100">
        <v>3.2</v>
      </c>
      <c r="O100" t="s">
        <v>42</v>
      </c>
      <c r="P100">
        <v>84.2</v>
      </c>
      <c r="Q100" t="str">
        <f t="shared" si="1"/>
        <v>Low</v>
      </c>
      <c r="X100">
        <v>94.7</v>
      </c>
    </row>
    <row r="101" spans="1:24" x14ac:dyDescent="0.3">
      <c r="A101" t="s">
        <v>334</v>
      </c>
      <c r="B101" t="s">
        <v>335</v>
      </c>
      <c r="C101" t="s">
        <v>54</v>
      </c>
      <c r="D101" t="s">
        <v>33</v>
      </c>
      <c r="E101" t="s">
        <v>50</v>
      </c>
      <c r="F101" t="s">
        <v>336</v>
      </c>
      <c r="G101" t="str">
        <f>TEXT(Table1_1[[#This Row],[Joining_Date]],"mmm")</f>
        <v>Sep</v>
      </c>
      <c r="H101" t="str">
        <f>TEXT(Table1_1[[#This Row],[Joining_Date]],"yyyy")</f>
        <v>2021</v>
      </c>
      <c r="I101" s="1"/>
      <c r="J101" t="s">
        <v>29</v>
      </c>
      <c r="K101">
        <f>IF(Table1_1[[#This Row],[Status]]="Exited",1,0)</f>
        <v>0</v>
      </c>
      <c r="L101">
        <f>IF(Table1_1[[#This Row],[Status]]="Exited",0,1)</f>
        <v>1</v>
      </c>
      <c r="M101">
        <v>277446</v>
      </c>
      <c r="N101">
        <v>2.9</v>
      </c>
      <c r="O101" t="s">
        <v>19</v>
      </c>
      <c r="P101">
        <v>86</v>
      </c>
      <c r="Q101" t="str">
        <f t="shared" si="1"/>
        <v>Low</v>
      </c>
      <c r="X101">
        <v>87</v>
      </c>
    </row>
    <row r="102" spans="1:24" x14ac:dyDescent="0.3">
      <c r="A102" t="s">
        <v>337</v>
      </c>
      <c r="B102" t="s">
        <v>338</v>
      </c>
      <c r="C102" t="s">
        <v>22</v>
      </c>
      <c r="D102" t="s">
        <v>15</v>
      </c>
      <c r="E102" t="s">
        <v>45</v>
      </c>
      <c r="F102" t="s">
        <v>339</v>
      </c>
      <c r="G102" t="str">
        <f>TEXT(Table1_1[[#This Row],[Joining_Date]],"mmm")</f>
        <v>Aug</v>
      </c>
      <c r="H102" t="str">
        <f>TEXT(Table1_1[[#This Row],[Joining_Date]],"yyyy")</f>
        <v>2023</v>
      </c>
      <c r="I102" s="1">
        <v>46537</v>
      </c>
      <c r="J102" t="s">
        <v>18</v>
      </c>
      <c r="K102">
        <f>IF(Table1_1[[#This Row],[Status]]="Exited",1,0)</f>
        <v>1</v>
      </c>
      <c r="L102">
        <f>IF(Table1_1[[#This Row],[Status]]="Exited",0,1)</f>
        <v>0</v>
      </c>
      <c r="M102">
        <v>700265</v>
      </c>
      <c r="N102">
        <v>3.4</v>
      </c>
      <c r="O102" t="s">
        <v>42</v>
      </c>
      <c r="P102">
        <v>84.9</v>
      </c>
      <c r="Q102" t="str">
        <f t="shared" si="1"/>
        <v>Low</v>
      </c>
      <c r="X102">
        <v>95.5</v>
      </c>
    </row>
    <row r="103" spans="1:24" x14ac:dyDescent="0.3">
      <c r="A103" t="s">
        <v>340</v>
      </c>
      <c r="B103" t="s">
        <v>341</v>
      </c>
      <c r="C103" t="s">
        <v>14</v>
      </c>
      <c r="D103" t="s">
        <v>10</v>
      </c>
      <c r="E103" t="s">
        <v>50</v>
      </c>
      <c r="F103" t="s">
        <v>342</v>
      </c>
      <c r="G103" t="str">
        <f>TEXT(Table1_1[[#This Row],[Joining_Date]],"mmm")</f>
        <v>Sep</v>
      </c>
      <c r="H103" t="str">
        <f>TEXT(Table1_1[[#This Row],[Joining_Date]],"yyyy")</f>
        <v>2020</v>
      </c>
      <c r="I103" s="1"/>
      <c r="J103" t="s">
        <v>29</v>
      </c>
      <c r="K103">
        <f>IF(Table1_1[[#This Row],[Status]]="Exited",1,0)</f>
        <v>0</v>
      </c>
      <c r="L103">
        <f>IF(Table1_1[[#This Row],[Status]]="Exited",0,1)</f>
        <v>1</v>
      </c>
      <c r="M103">
        <v>701452</v>
      </c>
      <c r="N103">
        <v>3.3</v>
      </c>
      <c r="O103" t="s">
        <v>42</v>
      </c>
      <c r="P103">
        <v>76.400000000000006</v>
      </c>
      <c r="Q103" t="str">
        <f t="shared" si="1"/>
        <v>Low</v>
      </c>
      <c r="X103">
        <v>96.8</v>
      </c>
    </row>
    <row r="104" spans="1:24" x14ac:dyDescent="0.3">
      <c r="A104" t="s">
        <v>343</v>
      </c>
      <c r="B104" t="s">
        <v>344</v>
      </c>
      <c r="C104" t="s">
        <v>37</v>
      </c>
      <c r="D104" t="s">
        <v>15</v>
      </c>
      <c r="E104" t="s">
        <v>16</v>
      </c>
      <c r="F104" t="s">
        <v>221</v>
      </c>
      <c r="G104" t="str">
        <f>TEXT(Table1_1[[#This Row],[Joining_Date]],"mmm")</f>
        <v>Jul</v>
      </c>
      <c r="H104" t="str">
        <f>TEXT(Table1_1[[#This Row],[Joining_Date]],"yyyy")</f>
        <v>2024</v>
      </c>
      <c r="I104" s="1">
        <v>45691</v>
      </c>
      <c r="J104" t="s">
        <v>18</v>
      </c>
      <c r="K104">
        <f>IF(Table1_1[[#This Row],[Status]]="Exited",1,0)</f>
        <v>1</v>
      </c>
      <c r="L104">
        <f>IF(Table1_1[[#This Row],[Status]]="Exited",0,1)</f>
        <v>0</v>
      </c>
      <c r="M104">
        <v>678782</v>
      </c>
      <c r="N104">
        <v>2.2999999999999998</v>
      </c>
      <c r="O104" t="s">
        <v>30</v>
      </c>
      <c r="P104">
        <v>84.2</v>
      </c>
      <c r="Q104" t="str">
        <f t="shared" si="1"/>
        <v>Low</v>
      </c>
      <c r="X104">
        <v>90.7</v>
      </c>
    </row>
    <row r="105" spans="1:24" x14ac:dyDescent="0.3">
      <c r="A105" t="s">
        <v>345</v>
      </c>
      <c r="B105" t="s">
        <v>346</v>
      </c>
      <c r="C105" t="s">
        <v>37</v>
      </c>
      <c r="D105" t="s">
        <v>10</v>
      </c>
      <c r="E105" t="s">
        <v>50</v>
      </c>
      <c r="F105" t="s">
        <v>347</v>
      </c>
      <c r="G105" t="str">
        <f>TEXT(Table1_1[[#This Row],[Joining_Date]],"mmm")</f>
        <v>Sep</v>
      </c>
      <c r="H105" t="str">
        <f>TEXT(Table1_1[[#This Row],[Joining_Date]],"yyyy")</f>
        <v>2019</v>
      </c>
      <c r="I105" s="1">
        <v>45195</v>
      </c>
      <c r="J105" t="s">
        <v>18</v>
      </c>
      <c r="K105">
        <f>IF(Table1_1[[#This Row],[Status]]="Exited",1,0)</f>
        <v>1</v>
      </c>
      <c r="L105">
        <f>IF(Table1_1[[#This Row],[Status]]="Exited",0,1)</f>
        <v>0</v>
      </c>
      <c r="M105">
        <v>591518</v>
      </c>
      <c r="N105">
        <v>4.5</v>
      </c>
      <c r="O105" t="s">
        <v>19</v>
      </c>
      <c r="P105">
        <v>78.400000000000006</v>
      </c>
      <c r="Q105" t="str">
        <f t="shared" si="1"/>
        <v>High</v>
      </c>
      <c r="X105">
        <v>85</v>
      </c>
    </row>
    <row r="106" spans="1:24" x14ac:dyDescent="0.3">
      <c r="A106" t="s">
        <v>349</v>
      </c>
      <c r="B106" t="s">
        <v>350</v>
      </c>
      <c r="C106" t="s">
        <v>22</v>
      </c>
      <c r="D106" t="s">
        <v>10</v>
      </c>
      <c r="E106" t="s">
        <v>45</v>
      </c>
      <c r="F106" t="s">
        <v>351</v>
      </c>
      <c r="G106" t="str">
        <f>TEXT(Table1_1[[#This Row],[Joining_Date]],"mmm")</f>
        <v>Dec</v>
      </c>
      <c r="H106" t="str">
        <f>TEXT(Table1_1[[#This Row],[Joining_Date]],"yyyy")</f>
        <v>2021</v>
      </c>
      <c r="I106" s="1"/>
      <c r="J106" t="s">
        <v>29</v>
      </c>
      <c r="K106">
        <f>IF(Table1_1[[#This Row],[Status]]="Exited",1,0)</f>
        <v>0</v>
      </c>
      <c r="L106">
        <f>IF(Table1_1[[#This Row],[Status]]="Exited",0,1)</f>
        <v>1</v>
      </c>
      <c r="M106">
        <v>960199</v>
      </c>
      <c r="N106">
        <v>4.5</v>
      </c>
      <c r="O106" t="s">
        <v>24</v>
      </c>
      <c r="P106">
        <v>76.099999999999994</v>
      </c>
      <c r="Q106" t="str">
        <f t="shared" si="1"/>
        <v>High</v>
      </c>
      <c r="X106">
        <v>84</v>
      </c>
    </row>
    <row r="107" spans="1:24" x14ac:dyDescent="0.3">
      <c r="A107" t="s">
        <v>352</v>
      </c>
      <c r="B107" t="s">
        <v>353</v>
      </c>
      <c r="C107" t="s">
        <v>61</v>
      </c>
      <c r="D107" t="s">
        <v>49</v>
      </c>
      <c r="E107" t="s">
        <v>45</v>
      </c>
      <c r="F107" t="s">
        <v>354</v>
      </c>
      <c r="G107" t="str">
        <f>TEXT(Table1_1[[#This Row],[Joining_Date]],"mmm")</f>
        <v>Jul</v>
      </c>
      <c r="H107" t="str">
        <f>TEXT(Table1_1[[#This Row],[Joining_Date]],"yyyy")</f>
        <v>2019</v>
      </c>
      <c r="I107" s="1"/>
      <c r="J107" t="s">
        <v>29</v>
      </c>
      <c r="K107">
        <f>IF(Table1_1[[#This Row],[Status]]="Exited",1,0)</f>
        <v>0</v>
      </c>
      <c r="L107">
        <f>IF(Table1_1[[#This Row],[Status]]="Exited",0,1)</f>
        <v>1</v>
      </c>
      <c r="M107">
        <v>849971</v>
      </c>
      <c r="N107">
        <v>4</v>
      </c>
      <c r="O107" t="s">
        <v>42</v>
      </c>
      <c r="P107">
        <v>80.900000000000006</v>
      </c>
      <c r="Q107" t="str">
        <f t="shared" si="1"/>
        <v>Low</v>
      </c>
      <c r="X107">
        <v>93.2</v>
      </c>
    </row>
    <row r="108" spans="1:24" x14ac:dyDescent="0.3">
      <c r="A108" t="s">
        <v>355</v>
      </c>
      <c r="B108" t="s">
        <v>356</v>
      </c>
      <c r="C108" t="s">
        <v>54</v>
      </c>
      <c r="D108" t="s">
        <v>15</v>
      </c>
      <c r="E108" t="s">
        <v>16</v>
      </c>
      <c r="F108" t="s">
        <v>357</v>
      </c>
      <c r="G108" t="str">
        <f>TEXT(Table1_1[[#This Row],[Joining_Date]],"mmm")</f>
        <v>Jul</v>
      </c>
      <c r="H108" t="str">
        <f>TEXT(Table1_1[[#This Row],[Joining_Date]],"yyyy")</f>
        <v>2018</v>
      </c>
      <c r="I108" s="1"/>
      <c r="J108" t="s">
        <v>29</v>
      </c>
      <c r="K108">
        <f>IF(Table1_1[[#This Row],[Status]]="Exited",1,0)</f>
        <v>0</v>
      </c>
      <c r="L108">
        <f>IF(Table1_1[[#This Row],[Status]]="Exited",0,1)</f>
        <v>1</v>
      </c>
      <c r="M108">
        <v>1179332</v>
      </c>
      <c r="N108">
        <v>3.6</v>
      </c>
      <c r="O108" t="s">
        <v>24</v>
      </c>
      <c r="P108">
        <v>79.2</v>
      </c>
      <c r="Q108" t="str">
        <f t="shared" si="1"/>
        <v>Low</v>
      </c>
      <c r="X108">
        <v>86.4</v>
      </c>
    </row>
    <row r="109" spans="1:24" x14ac:dyDescent="0.3">
      <c r="A109" t="s">
        <v>358</v>
      </c>
      <c r="B109" t="s">
        <v>359</v>
      </c>
      <c r="C109" t="s">
        <v>61</v>
      </c>
      <c r="D109" t="s">
        <v>49</v>
      </c>
      <c r="E109" t="s">
        <v>50</v>
      </c>
      <c r="F109" t="s">
        <v>360</v>
      </c>
      <c r="G109" t="str">
        <f>TEXT(Table1_1[[#This Row],[Joining_Date]],"mmm")</f>
        <v>Nov</v>
      </c>
      <c r="H109" t="str">
        <f>TEXT(Table1_1[[#This Row],[Joining_Date]],"yyyy")</f>
        <v>2018</v>
      </c>
      <c r="I109" s="1"/>
      <c r="J109" t="s">
        <v>29</v>
      </c>
      <c r="K109">
        <f>IF(Table1_1[[#This Row],[Status]]="Exited",1,0)</f>
        <v>0</v>
      </c>
      <c r="L109">
        <f>IF(Table1_1[[#This Row],[Status]]="Exited",0,1)</f>
        <v>1</v>
      </c>
      <c r="M109">
        <v>428549</v>
      </c>
      <c r="N109">
        <v>4.8</v>
      </c>
      <c r="O109" t="s">
        <v>30</v>
      </c>
      <c r="P109">
        <v>80.8</v>
      </c>
      <c r="Q109" t="str">
        <f t="shared" si="1"/>
        <v>High</v>
      </c>
      <c r="X109">
        <v>89.4</v>
      </c>
    </row>
    <row r="110" spans="1:24" x14ac:dyDescent="0.3">
      <c r="A110" t="s">
        <v>361</v>
      </c>
      <c r="B110" t="s">
        <v>362</v>
      </c>
      <c r="C110" t="s">
        <v>22</v>
      </c>
      <c r="D110" t="s">
        <v>15</v>
      </c>
      <c r="E110" t="s">
        <v>16</v>
      </c>
      <c r="F110" t="s">
        <v>363</v>
      </c>
      <c r="G110" t="str">
        <f>TEXT(Table1_1[[#This Row],[Joining_Date]],"mmm")</f>
        <v>Jan</v>
      </c>
      <c r="H110" t="str">
        <f>TEXT(Table1_1[[#This Row],[Joining_Date]],"yyyy")</f>
        <v>2022</v>
      </c>
      <c r="I110" s="1">
        <v>45438</v>
      </c>
      <c r="J110" t="s">
        <v>18</v>
      </c>
      <c r="K110">
        <f>IF(Table1_1[[#This Row],[Status]]="Exited",1,0)</f>
        <v>1</v>
      </c>
      <c r="L110">
        <f>IF(Table1_1[[#This Row],[Status]]="Exited",0,1)</f>
        <v>0</v>
      </c>
      <c r="M110">
        <v>350562</v>
      </c>
      <c r="N110">
        <v>4.8</v>
      </c>
      <c r="O110" t="s">
        <v>30</v>
      </c>
      <c r="P110">
        <v>83.5</v>
      </c>
      <c r="Q110" t="str">
        <f t="shared" si="1"/>
        <v>High</v>
      </c>
      <c r="X110">
        <v>85.6</v>
      </c>
    </row>
    <row r="111" spans="1:24" x14ac:dyDescent="0.3">
      <c r="A111" t="s">
        <v>364</v>
      </c>
      <c r="B111" t="s">
        <v>365</v>
      </c>
      <c r="C111" t="s">
        <v>61</v>
      </c>
      <c r="D111" t="s">
        <v>15</v>
      </c>
      <c r="E111" t="s">
        <v>27</v>
      </c>
      <c r="F111" t="s">
        <v>366</v>
      </c>
      <c r="G111" t="str">
        <f>TEXT(Table1_1[[#This Row],[Joining_Date]],"mmm")</f>
        <v>Sep</v>
      </c>
      <c r="H111" t="str">
        <f>TEXT(Table1_1[[#This Row],[Joining_Date]],"yyyy")</f>
        <v>2023</v>
      </c>
      <c r="I111" s="1"/>
      <c r="J111" t="s">
        <v>29</v>
      </c>
      <c r="K111">
        <f>IF(Table1_1[[#This Row],[Status]]="Exited",1,0)</f>
        <v>0</v>
      </c>
      <c r="L111">
        <f>IF(Table1_1[[#This Row],[Status]]="Exited",0,1)</f>
        <v>1</v>
      </c>
      <c r="M111">
        <v>670615</v>
      </c>
      <c r="N111">
        <v>4.2</v>
      </c>
      <c r="O111" t="s">
        <v>30</v>
      </c>
      <c r="P111">
        <v>81.8</v>
      </c>
      <c r="Q111" t="str">
        <f t="shared" si="1"/>
        <v>High</v>
      </c>
      <c r="X111">
        <v>85.9</v>
      </c>
    </row>
    <row r="112" spans="1:24" x14ac:dyDescent="0.3">
      <c r="A112" t="s">
        <v>367</v>
      </c>
      <c r="B112" t="s">
        <v>368</v>
      </c>
      <c r="C112" t="s">
        <v>22</v>
      </c>
      <c r="D112" t="s">
        <v>10</v>
      </c>
      <c r="E112" t="s">
        <v>45</v>
      </c>
      <c r="F112" t="s">
        <v>369</v>
      </c>
      <c r="G112" t="str">
        <f>TEXT(Table1_1[[#This Row],[Joining_Date]],"mmm")</f>
        <v>Mar</v>
      </c>
      <c r="H112" t="str">
        <f>TEXT(Table1_1[[#This Row],[Joining_Date]],"yyyy")</f>
        <v>2023</v>
      </c>
      <c r="I112" s="1">
        <v>45160</v>
      </c>
      <c r="J112" t="s">
        <v>18</v>
      </c>
      <c r="K112">
        <f>IF(Table1_1[[#This Row],[Status]]="Exited",1,0)</f>
        <v>1</v>
      </c>
      <c r="L112">
        <f>IF(Table1_1[[#This Row],[Status]]="Exited",0,1)</f>
        <v>0</v>
      </c>
      <c r="M112">
        <v>394838</v>
      </c>
      <c r="N112">
        <v>2.9</v>
      </c>
      <c r="O112" t="s">
        <v>30</v>
      </c>
      <c r="P112">
        <v>79.5</v>
      </c>
      <c r="Q112" t="str">
        <f t="shared" si="1"/>
        <v>Low</v>
      </c>
      <c r="X112">
        <v>77</v>
      </c>
    </row>
    <row r="113" spans="1:24" x14ac:dyDescent="0.3">
      <c r="A113" t="s">
        <v>370</v>
      </c>
      <c r="B113" t="s">
        <v>371</v>
      </c>
      <c r="C113" t="s">
        <v>22</v>
      </c>
      <c r="D113" t="s">
        <v>33</v>
      </c>
      <c r="E113" t="s">
        <v>50</v>
      </c>
      <c r="F113" t="s">
        <v>372</v>
      </c>
      <c r="G113" t="str">
        <f>TEXT(Table1_1[[#This Row],[Joining_Date]],"mmm")</f>
        <v>Feb</v>
      </c>
      <c r="H113" t="str">
        <f>TEXT(Table1_1[[#This Row],[Joining_Date]],"yyyy")</f>
        <v>2024</v>
      </c>
      <c r="I113" s="1"/>
      <c r="J113" t="s">
        <v>29</v>
      </c>
      <c r="K113">
        <f>IF(Table1_1[[#This Row],[Status]]="Exited",1,0)</f>
        <v>0</v>
      </c>
      <c r="L113">
        <f>IF(Table1_1[[#This Row],[Status]]="Exited",0,1)</f>
        <v>1</v>
      </c>
      <c r="M113">
        <v>938628</v>
      </c>
      <c r="N113">
        <v>2.8</v>
      </c>
      <c r="O113" t="s">
        <v>24</v>
      </c>
      <c r="P113">
        <v>99.6</v>
      </c>
      <c r="Q113" t="str">
        <f t="shared" si="1"/>
        <v>Low</v>
      </c>
      <c r="X113">
        <v>77.3</v>
      </c>
    </row>
    <row r="114" spans="1:24" x14ac:dyDescent="0.3">
      <c r="A114" t="s">
        <v>373</v>
      </c>
      <c r="B114" t="s">
        <v>374</v>
      </c>
      <c r="C114" t="s">
        <v>61</v>
      </c>
      <c r="D114" t="s">
        <v>49</v>
      </c>
      <c r="E114" t="s">
        <v>50</v>
      </c>
      <c r="F114" t="s">
        <v>375</v>
      </c>
      <c r="G114" t="str">
        <f>TEXT(Table1_1[[#This Row],[Joining_Date]],"mmm")</f>
        <v>Jul</v>
      </c>
      <c r="H114" t="str">
        <f>TEXT(Table1_1[[#This Row],[Joining_Date]],"yyyy")</f>
        <v>2022</v>
      </c>
      <c r="I114" s="1"/>
      <c r="J114" t="s">
        <v>29</v>
      </c>
      <c r="K114">
        <f>IF(Table1_1[[#This Row],[Status]]="Exited",1,0)</f>
        <v>0</v>
      </c>
      <c r="L114">
        <f>IF(Table1_1[[#This Row],[Status]]="Exited",0,1)</f>
        <v>1</v>
      </c>
      <c r="M114">
        <v>1081373</v>
      </c>
      <c r="N114">
        <v>4.7</v>
      </c>
      <c r="O114" t="s">
        <v>42</v>
      </c>
      <c r="P114">
        <v>93.8</v>
      </c>
      <c r="Q114" t="str">
        <f t="shared" si="1"/>
        <v>High</v>
      </c>
      <c r="X114">
        <v>89.1</v>
      </c>
    </row>
    <row r="115" spans="1:24" x14ac:dyDescent="0.3">
      <c r="A115" t="s">
        <v>376</v>
      </c>
      <c r="B115" t="s">
        <v>377</v>
      </c>
      <c r="C115" t="s">
        <v>37</v>
      </c>
      <c r="D115" t="s">
        <v>49</v>
      </c>
      <c r="E115" t="s">
        <v>16</v>
      </c>
      <c r="F115" t="s">
        <v>378</v>
      </c>
      <c r="G115" t="str">
        <f>TEXT(Table1_1[[#This Row],[Joining_Date]],"mmm")</f>
        <v>Nov</v>
      </c>
      <c r="H115" t="str">
        <f>TEXT(Table1_1[[#This Row],[Joining_Date]],"yyyy")</f>
        <v>2022</v>
      </c>
      <c r="I115" s="1">
        <v>45319</v>
      </c>
      <c r="J115" t="s">
        <v>18</v>
      </c>
      <c r="K115">
        <f>IF(Table1_1[[#This Row],[Status]]="Exited",1,0)</f>
        <v>1</v>
      </c>
      <c r="L115">
        <f>IF(Table1_1[[#This Row],[Status]]="Exited",0,1)</f>
        <v>0</v>
      </c>
      <c r="M115">
        <v>543590</v>
      </c>
      <c r="N115">
        <v>3.6</v>
      </c>
      <c r="O115" t="s">
        <v>19</v>
      </c>
      <c r="P115">
        <v>98.2</v>
      </c>
      <c r="Q115" t="str">
        <f t="shared" si="1"/>
        <v>Low</v>
      </c>
      <c r="X115">
        <v>98.3</v>
      </c>
    </row>
    <row r="116" spans="1:24" x14ac:dyDescent="0.3">
      <c r="A116" t="s">
        <v>379</v>
      </c>
      <c r="B116" t="s">
        <v>380</v>
      </c>
      <c r="C116" t="s">
        <v>54</v>
      </c>
      <c r="D116" t="s">
        <v>49</v>
      </c>
      <c r="E116" t="s">
        <v>45</v>
      </c>
      <c r="F116" t="s">
        <v>381</v>
      </c>
      <c r="G116" t="str">
        <f>TEXT(Table1_1[[#This Row],[Joining_Date]],"mmm")</f>
        <v>Nov</v>
      </c>
      <c r="H116" t="str">
        <f>TEXT(Table1_1[[#This Row],[Joining_Date]],"yyyy")</f>
        <v>2024</v>
      </c>
      <c r="I116" s="1">
        <v>45774</v>
      </c>
      <c r="J116" t="s">
        <v>18</v>
      </c>
      <c r="K116">
        <f>IF(Table1_1[[#This Row],[Status]]="Exited",1,0)</f>
        <v>1</v>
      </c>
      <c r="L116">
        <f>IF(Table1_1[[#This Row],[Status]]="Exited",0,1)</f>
        <v>0</v>
      </c>
      <c r="M116">
        <v>1023620</v>
      </c>
      <c r="N116">
        <v>4.5999999999999996</v>
      </c>
      <c r="O116" t="s">
        <v>24</v>
      </c>
      <c r="P116">
        <v>94.2</v>
      </c>
      <c r="Q116" t="str">
        <f t="shared" si="1"/>
        <v>High</v>
      </c>
      <c r="X116">
        <v>83.1</v>
      </c>
    </row>
    <row r="117" spans="1:24" x14ac:dyDescent="0.3">
      <c r="A117" t="s">
        <v>382</v>
      </c>
      <c r="B117" t="s">
        <v>383</v>
      </c>
      <c r="C117" t="s">
        <v>22</v>
      </c>
      <c r="D117" t="s">
        <v>33</v>
      </c>
      <c r="E117" t="s">
        <v>16</v>
      </c>
      <c r="F117" t="s">
        <v>384</v>
      </c>
      <c r="G117" t="str">
        <f>TEXT(Table1_1[[#This Row],[Joining_Date]],"mmm")</f>
        <v>Nov</v>
      </c>
      <c r="H117" t="str">
        <f>TEXT(Table1_1[[#This Row],[Joining_Date]],"yyyy")</f>
        <v>2019</v>
      </c>
      <c r="I117" s="1"/>
      <c r="J117" t="s">
        <v>29</v>
      </c>
      <c r="K117">
        <f>IF(Table1_1[[#This Row],[Status]]="Exited",1,0)</f>
        <v>0</v>
      </c>
      <c r="L117">
        <f>IF(Table1_1[[#This Row],[Status]]="Exited",0,1)</f>
        <v>1</v>
      </c>
      <c r="M117">
        <v>1147638</v>
      </c>
      <c r="N117">
        <v>4.2</v>
      </c>
      <c r="O117" t="s">
        <v>30</v>
      </c>
      <c r="P117">
        <v>81.599999999999994</v>
      </c>
      <c r="Q117" t="str">
        <f t="shared" si="1"/>
        <v>High</v>
      </c>
      <c r="X117">
        <v>88.3</v>
      </c>
    </row>
    <row r="118" spans="1:24" x14ac:dyDescent="0.3">
      <c r="A118" t="s">
        <v>385</v>
      </c>
      <c r="B118" t="s">
        <v>386</v>
      </c>
      <c r="C118" t="s">
        <v>54</v>
      </c>
      <c r="D118" t="s">
        <v>10</v>
      </c>
      <c r="E118" t="s">
        <v>50</v>
      </c>
      <c r="F118" t="s">
        <v>387</v>
      </c>
      <c r="G118" t="str">
        <f>TEXT(Table1_1[[#This Row],[Joining_Date]],"mmm")</f>
        <v>Dec</v>
      </c>
      <c r="H118" t="str">
        <f>TEXT(Table1_1[[#This Row],[Joining_Date]],"yyyy")</f>
        <v>2018</v>
      </c>
      <c r="I118" s="1">
        <v>43923</v>
      </c>
      <c r="J118" t="s">
        <v>18</v>
      </c>
      <c r="K118">
        <f>IF(Table1_1[[#This Row],[Status]]="Exited",1,0)</f>
        <v>1</v>
      </c>
      <c r="L118">
        <f>IF(Table1_1[[#This Row],[Status]]="Exited",0,1)</f>
        <v>0</v>
      </c>
      <c r="M118">
        <v>1026322</v>
      </c>
      <c r="N118">
        <v>2.6</v>
      </c>
      <c r="O118" t="s">
        <v>30</v>
      </c>
      <c r="P118">
        <v>97.7</v>
      </c>
      <c r="Q118" t="str">
        <f t="shared" si="1"/>
        <v>Low</v>
      </c>
      <c r="X118">
        <v>89.8</v>
      </c>
    </row>
    <row r="119" spans="1:24" x14ac:dyDescent="0.3">
      <c r="A119" t="s">
        <v>388</v>
      </c>
      <c r="B119" t="s">
        <v>389</v>
      </c>
      <c r="C119" t="s">
        <v>37</v>
      </c>
      <c r="D119" t="s">
        <v>10</v>
      </c>
      <c r="E119" t="s">
        <v>27</v>
      </c>
      <c r="F119" t="s">
        <v>390</v>
      </c>
      <c r="G119" t="str">
        <f>TEXT(Table1_1[[#This Row],[Joining_Date]],"mmm")</f>
        <v>Aug</v>
      </c>
      <c r="H119" t="str">
        <f>TEXT(Table1_1[[#This Row],[Joining_Date]],"yyyy")</f>
        <v>2021</v>
      </c>
      <c r="I119" s="1"/>
      <c r="J119" t="s">
        <v>29</v>
      </c>
      <c r="K119">
        <f>IF(Table1_1[[#This Row],[Status]]="Exited",1,0)</f>
        <v>0</v>
      </c>
      <c r="L119">
        <f>IF(Table1_1[[#This Row],[Status]]="Exited",0,1)</f>
        <v>1</v>
      </c>
      <c r="M119">
        <v>1052799</v>
      </c>
      <c r="N119">
        <v>3.8</v>
      </c>
      <c r="O119" t="s">
        <v>19</v>
      </c>
      <c r="P119">
        <v>76.900000000000006</v>
      </c>
      <c r="Q119" t="str">
        <f t="shared" si="1"/>
        <v>Low</v>
      </c>
      <c r="X119">
        <v>76.7</v>
      </c>
    </row>
    <row r="120" spans="1:24" x14ac:dyDescent="0.3">
      <c r="A120" t="s">
        <v>391</v>
      </c>
      <c r="B120" t="s">
        <v>392</v>
      </c>
      <c r="C120" t="s">
        <v>54</v>
      </c>
      <c r="D120" t="s">
        <v>10</v>
      </c>
      <c r="E120" t="s">
        <v>16</v>
      </c>
      <c r="F120" t="s">
        <v>393</v>
      </c>
      <c r="G120" t="str">
        <f>TEXT(Table1_1[[#This Row],[Joining_Date]],"mmm")</f>
        <v>Jun</v>
      </c>
      <c r="H120" t="str">
        <f>TEXT(Table1_1[[#This Row],[Joining_Date]],"yyyy")</f>
        <v>2018</v>
      </c>
      <c r="I120" s="1"/>
      <c r="J120" t="s">
        <v>29</v>
      </c>
      <c r="K120">
        <f>IF(Table1_1[[#This Row],[Status]]="Exited",1,0)</f>
        <v>0</v>
      </c>
      <c r="L120">
        <f>IF(Table1_1[[#This Row],[Status]]="Exited",0,1)</f>
        <v>1</v>
      </c>
      <c r="M120">
        <v>615317</v>
      </c>
      <c r="N120">
        <v>4.7</v>
      </c>
      <c r="O120" t="s">
        <v>42</v>
      </c>
      <c r="P120">
        <v>84.8</v>
      </c>
      <c r="Q120" t="str">
        <f t="shared" si="1"/>
        <v>High</v>
      </c>
      <c r="X120">
        <v>86.5</v>
      </c>
    </row>
    <row r="121" spans="1:24" x14ac:dyDescent="0.3">
      <c r="A121" t="s">
        <v>394</v>
      </c>
      <c r="B121" t="s">
        <v>395</v>
      </c>
      <c r="C121" t="s">
        <v>14</v>
      </c>
      <c r="D121" t="s">
        <v>15</v>
      </c>
      <c r="E121" t="s">
        <v>50</v>
      </c>
      <c r="F121" t="s">
        <v>396</v>
      </c>
      <c r="G121" t="str">
        <f>TEXT(Table1_1[[#This Row],[Joining_Date]],"mmm")</f>
        <v>Oct</v>
      </c>
      <c r="H121" t="str">
        <f>TEXT(Table1_1[[#This Row],[Joining_Date]],"yyyy")</f>
        <v>2022</v>
      </c>
      <c r="I121" s="1">
        <v>46260</v>
      </c>
      <c r="J121" t="s">
        <v>18</v>
      </c>
      <c r="K121">
        <f>IF(Table1_1[[#This Row],[Status]]="Exited",1,0)</f>
        <v>1</v>
      </c>
      <c r="L121">
        <f>IF(Table1_1[[#This Row],[Status]]="Exited",0,1)</f>
        <v>0</v>
      </c>
      <c r="M121">
        <v>1045603</v>
      </c>
      <c r="N121">
        <v>3.5</v>
      </c>
      <c r="O121" t="s">
        <v>19</v>
      </c>
      <c r="P121">
        <v>94.7</v>
      </c>
      <c r="Q121" t="str">
        <f t="shared" si="1"/>
        <v>Low</v>
      </c>
      <c r="X121">
        <v>93</v>
      </c>
    </row>
    <row r="122" spans="1:24" x14ac:dyDescent="0.3">
      <c r="A122" t="s">
        <v>397</v>
      </c>
      <c r="B122" t="s">
        <v>398</v>
      </c>
      <c r="C122" t="s">
        <v>14</v>
      </c>
      <c r="D122" t="s">
        <v>15</v>
      </c>
      <c r="E122" t="s">
        <v>16</v>
      </c>
      <c r="F122" t="s">
        <v>399</v>
      </c>
      <c r="G122" t="str">
        <f>TEXT(Table1_1[[#This Row],[Joining_Date]],"mmm")</f>
        <v>Jun</v>
      </c>
      <c r="H122" t="str">
        <f>TEXT(Table1_1[[#This Row],[Joining_Date]],"yyyy")</f>
        <v>2018</v>
      </c>
      <c r="I122" s="1"/>
      <c r="J122" t="s">
        <v>29</v>
      </c>
      <c r="K122">
        <f>IF(Table1_1[[#This Row],[Status]]="Exited",1,0)</f>
        <v>0</v>
      </c>
      <c r="L122">
        <f>IF(Table1_1[[#This Row],[Status]]="Exited",0,1)</f>
        <v>1</v>
      </c>
      <c r="M122">
        <v>298951</v>
      </c>
      <c r="N122">
        <v>3.4</v>
      </c>
      <c r="O122" t="s">
        <v>24</v>
      </c>
      <c r="P122">
        <v>82</v>
      </c>
      <c r="Q122" t="str">
        <f t="shared" si="1"/>
        <v>Low</v>
      </c>
      <c r="X122">
        <v>89.3</v>
      </c>
    </row>
    <row r="123" spans="1:24" x14ac:dyDescent="0.3">
      <c r="A123" t="s">
        <v>400</v>
      </c>
      <c r="B123" t="s">
        <v>401</v>
      </c>
      <c r="C123" t="s">
        <v>37</v>
      </c>
      <c r="D123" t="s">
        <v>15</v>
      </c>
      <c r="E123" t="s">
        <v>16</v>
      </c>
      <c r="F123" t="s">
        <v>402</v>
      </c>
      <c r="G123" t="str">
        <f>TEXT(Table1_1[[#This Row],[Joining_Date]],"mmm")</f>
        <v>Jan</v>
      </c>
      <c r="H123" t="str">
        <f>TEXT(Table1_1[[#This Row],[Joining_Date]],"yyyy")</f>
        <v>2022</v>
      </c>
      <c r="I123" s="1"/>
      <c r="J123" t="s">
        <v>29</v>
      </c>
      <c r="K123">
        <f>IF(Table1_1[[#This Row],[Status]]="Exited",1,0)</f>
        <v>0</v>
      </c>
      <c r="L123">
        <f>IF(Table1_1[[#This Row],[Status]]="Exited",0,1)</f>
        <v>1</v>
      </c>
      <c r="M123">
        <v>373589</v>
      </c>
      <c r="N123">
        <v>4.7</v>
      </c>
      <c r="O123" t="s">
        <v>24</v>
      </c>
      <c r="P123">
        <v>94.6</v>
      </c>
      <c r="Q123" t="str">
        <f t="shared" si="1"/>
        <v>High</v>
      </c>
      <c r="X123">
        <v>83.2</v>
      </c>
    </row>
    <row r="124" spans="1:24" x14ac:dyDescent="0.3">
      <c r="A124" t="s">
        <v>403</v>
      </c>
      <c r="B124" t="s">
        <v>404</v>
      </c>
      <c r="C124" t="s">
        <v>22</v>
      </c>
      <c r="D124" t="s">
        <v>10</v>
      </c>
      <c r="E124" t="s">
        <v>50</v>
      </c>
      <c r="F124" t="s">
        <v>405</v>
      </c>
      <c r="G124" t="str">
        <f>TEXT(Table1_1[[#This Row],[Joining_Date]],"mmm")</f>
        <v>Mar</v>
      </c>
      <c r="H124" t="str">
        <f>TEXT(Table1_1[[#This Row],[Joining_Date]],"yyyy")</f>
        <v>2022</v>
      </c>
      <c r="I124" s="1"/>
      <c r="J124" t="s">
        <v>29</v>
      </c>
      <c r="K124">
        <f>IF(Table1_1[[#This Row],[Status]]="Exited",1,0)</f>
        <v>0</v>
      </c>
      <c r="L124">
        <f>IF(Table1_1[[#This Row],[Status]]="Exited",0,1)</f>
        <v>1</v>
      </c>
      <c r="M124">
        <v>1094642</v>
      </c>
      <c r="N124">
        <v>2.2000000000000002</v>
      </c>
      <c r="O124" t="s">
        <v>30</v>
      </c>
      <c r="P124">
        <v>87</v>
      </c>
      <c r="Q124" t="str">
        <f t="shared" si="1"/>
        <v>Low</v>
      </c>
      <c r="X124">
        <v>93.5</v>
      </c>
    </row>
    <row r="125" spans="1:24" x14ac:dyDescent="0.3">
      <c r="A125" t="s">
        <v>406</v>
      </c>
      <c r="B125" t="s">
        <v>407</v>
      </c>
      <c r="C125" t="s">
        <v>14</v>
      </c>
      <c r="D125" t="s">
        <v>33</v>
      </c>
      <c r="E125" t="s">
        <v>16</v>
      </c>
      <c r="F125" t="s">
        <v>408</v>
      </c>
      <c r="G125" t="str">
        <f>TEXT(Table1_1[[#This Row],[Joining_Date]],"mmm")</f>
        <v>Aug</v>
      </c>
      <c r="H125" t="str">
        <f>TEXT(Table1_1[[#This Row],[Joining_Date]],"yyyy")</f>
        <v>2024</v>
      </c>
      <c r="I125" s="1"/>
      <c r="J125" t="s">
        <v>29</v>
      </c>
      <c r="K125">
        <f>IF(Table1_1[[#This Row],[Status]]="Exited",1,0)</f>
        <v>0</v>
      </c>
      <c r="L125">
        <f>IF(Table1_1[[#This Row],[Status]]="Exited",0,1)</f>
        <v>1</v>
      </c>
      <c r="M125">
        <v>367768</v>
      </c>
      <c r="N125">
        <v>4.9000000000000004</v>
      </c>
      <c r="O125" t="s">
        <v>30</v>
      </c>
      <c r="P125">
        <v>95.5</v>
      </c>
      <c r="Q125" t="str">
        <f t="shared" si="1"/>
        <v>High</v>
      </c>
      <c r="X125">
        <v>93.9</v>
      </c>
    </row>
    <row r="126" spans="1:24" x14ac:dyDescent="0.3">
      <c r="A126" t="s">
        <v>409</v>
      </c>
      <c r="B126" t="s">
        <v>410</v>
      </c>
      <c r="C126" t="s">
        <v>37</v>
      </c>
      <c r="D126" t="s">
        <v>15</v>
      </c>
      <c r="E126" t="s">
        <v>27</v>
      </c>
      <c r="F126" t="s">
        <v>411</v>
      </c>
      <c r="G126" t="str">
        <f>TEXT(Table1_1[[#This Row],[Joining_Date]],"mmm")</f>
        <v>Dec</v>
      </c>
      <c r="H126" t="str">
        <f>TEXT(Table1_1[[#This Row],[Joining_Date]],"yyyy")</f>
        <v>2020</v>
      </c>
      <c r="I126" s="1"/>
      <c r="J126" t="s">
        <v>29</v>
      </c>
      <c r="K126">
        <f>IF(Table1_1[[#This Row],[Status]]="Exited",1,0)</f>
        <v>0</v>
      </c>
      <c r="L126">
        <f>IF(Table1_1[[#This Row],[Status]]="Exited",0,1)</f>
        <v>1</v>
      </c>
      <c r="M126">
        <v>1101682</v>
      </c>
      <c r="N126">
        <v>3.4</v>
      </c>
      <c r="O126" t="s">
        <v>19</v>
      </c>
      <c r="P126">
        <v>79.2</v>
      </c>
      <c r="Q126" t="str">
        <f t="shared" si="1"/>
        <v>Low</v>
      </c>
      <c r="X126">
        <v>75.7</v>
      </c>
    </row>
    <row r="127" spans="1:24" x14ac:dyDescent="0.3">
      <c r="A127" t="s">
        <v>412</v>
      </c>
      <c r="B127" t="s">
        <v>413</v>
      </c>
      <c r="C127" t="s">
        <v>54</v>
      </c>
      <c r="D127" t="s">
        <v>33</v>
      </c>
      <c r="E127" t="s">
        <v>16</v>
      </c>
      <c r="F127" t="s">
        <v>414</v>
      </c>
      <c r="G127" t="str">
        <f>TEXT(Table1_1[[#This Row],[Joining_Date]],"mmm")</f>
        <v>Jan</v>
      </c>
      <c r="H127" t="str">
        <f>TEXT(Table1_1[[#This Row],[Joining_Date]],"yyyy")</f>
        <v>2020</v>
      </c>
      <c r="I127" s="1">
        <v>44825</v>
      </c>
      <c r="J127" t="s">
        <v>18</v>
      </c>
      <c r="K127">
        <f>IF(Table1_1[[#This Row],[Status]]="Exited",1,0)</f>
        <v>1</v>
      </c>
      <c r="L127">
        <f>IF(Table1_1[[#This Row],[Status]]="Exited",0,1)</f>
        <v>0</v>
      </c>
      <c r="M127">
        <v>356584</v>
      </c>
      <c r="N127">
        <v>2.5</v>
      </c>
      <c r="O127" t="s">
        <v>30</v>
      </c>
      <c r="P127">
        <v>96.8</v>
      </c>
      <c r="Q127" t="str">
        <f t="shared" si="1"/>
        <v>Low</v>
      </c>
      <c r="X127">
        <v>77.8</v>
      </c>
    </row>
    <row r="128" spans="1:24" x14ac:dyDescent="0.3">
      <c r="A128" t="s">
        <v>415</v>
      </c>
      <c r="B128" t="s">
        <v>416</v>
      </c>
      <c r="C128" t="s">
        <v>54</v>
      </c>
      <c r="D128" t="s">
        <v>33</v>
      </c>
      <c r="E128" t="s">
        <v>27</v>
      </c>
      <c r="F128" t="s">
        <v>51</v>
      </c>
      <c r="G128" t="str">
        <f>TEXT(Table1_1[[#This Row],[Joining_Date]],"mmm")</f>
        <v>Sep</v>
      </c>
      <c r="H128" t="str">
        <f>TEXT(Table1_1[[#This Row],[Joining_Date]],"yyyy")</f>
        <v>2018</v>
      </c>
      <c r="I128" s="1"/>
      <c r="J128" t="s">
        <v>29</v>
      </c>
      <c r="K128">
        <f>IF(Table1_1[[#This Row],[Status]]="Exited",1,0)</f>
        <v>0</v>
      </c>
      <c r="L128">
        <f>IF(Table1_1[[#This Row],[Status]]="Exited",0,1)</f>
        <v>1</v>
      </c>
      <c r="M128">
        <v>409364</v>
      </c>
      <c r="N128">
        <v>4.3</v>
      </c>
      <c r="O128" t="s">
        <v>42</v>
      </c>
      <c r="P128">
        <v>90.7</v>
      </c>
      <c r="Q128" t="str">
        <f t="shared" si="1"/>
        <v>High</v>
      </c>
      <c r="X128">
        <v>83.7</v>
      </c>
    </row>
    <row r="129" spans="1:24" x14ac:dyDescent="0.3">
      <c r="A129" t="s">
        <v>417</v>
      </c>
      <c r="B129" t="s">
        <v>418</v>
      </c>
      <c r="C129" t="s">
        <v>54</v>
      </c>
      <c r="D129" t="s">
        <v>49</v>
      </c>
      <c r="E129" t="s">
        <v>27</v>
      </c>
      <c r="F129" t="s">
        <v>419</v>
      </c>
      <c r="G129" t="str">
        <f>TEXT(Table1_1[[#This Row],[Joining_Date]],"mmm")</f>
        <v>Dec</v>
      </c>
      <c r="H129" t="str">
        <f>TEXT(Table1_1[[#This Row],[Joining_Date]],"yyyy")</f>
        <v>2018</v>
      </c>
      <c r="I129" s="1">
        <v>43761</v>
      </c>
      <c r="J129" t="s">
        <v>18</v>
      </c>
      <c r="K129">
        <f>IF(Table1_1[[#This Row],[Status]]="Exited",1,0)</f>
        <v>1</v>
      </c>
      <c r="L129">
        <f>IF(Table1_1[[#This Row],[Status]]="Exited",0,1)</f>
        <v>0</v>
      </c>
      <c r="M129">
        <v>1169935</v>
      </c>
      <c r="N129">
        <v>3</v>
      </c>
      <c r="O129" t="s">
        <v>42</v>
      </c>
      <c r="P129">
        <v>85</v>
      </c>
      <c r="Q129" t="str">
        <f t="shared" si="1"/>
        <v>Low</v>
      </c>
      <c r="X129">
        <v>80</v>
      </c>
    </row>
    <row r="130" spans="1:24" x14ac:dyDescent="0.3">
      <c r="A130" t="s">
        <v>420</v>
      </c>
      <c r="B130" t="s">
        <v>421</v>
      </c>
      <c r="C130" t="s">
        <v>22</v>
      </c>
      <c r="D130" t="s">
        <v>49</v>
      </c>
      <c r="E130" t="s">
        <v>27</v>
      </c>
      <c r="F130" t="s">
        <v>422</v>
      </c>
      <c r="G130" t="str">
        <f>TEXT(Table1_1[[#This Row],[Joining_Date]],"mmm")</f>
        <v>Jun</v>
      </c>
      <c r="H130" t="str">
        <f>TEXT(Table1_1[[#This Row],[Joining_Date]],"yyyy")</f>
        <v>2023</v>
      </c>
      <c r="I130" s="1"/>
      <c r="J130" t="s">
        <v>29</v>
      </c>
      <c r="K130">
        <f>IF(Table1_1[[#This Row],[Status]]="Exited",1,0)</f>
        <v>0</v>
      </c>
      <c r="L130">
        <f>IF(Table1_1[[#This Row],[Status]]="Exited",0,1)</f>
        <v>1</v>
      </c>
      <c r="M130">
        <v>653167</v>
      </c>
      <c r="N130">
        <v>3.1</v>
      </c>
      <c r="O130" t="s">
        <v>19</v>
      </c>
      <c r="P130">
        <v>84</v>
      </c>
      <c r="Q130" t="str">
        <f t="shared" ref="Q130:Q193" si="2">IF(AND(N130&gt;4,P130&gt;=75),"High",
 IF(AND(N130&gt;2,N130&lt;=4,P130&gt;40,P130&lt;=74),"Average","Low"))</f>
        <v>Low</v>
      </c>
      <c r="X130">
        <v>92.7</v>
      </c>
    </row>
    <row r="131" spans="1:24" x14ac:dyDescent="0.3">
      <c r="A131" t="s">
        <v>423</v>
      </c>
      <c r="B131" t="s">
        <v>424</v>
      </c>
      <c r="C131" t="s">
        <v>54</v>
      </c>
      <c r="D131" t="s">
        <v>49</v>
      </c>
      <c r="E131" t="s">
        <v>45</v>
      </c>
      <c r="F131" t="s">
        <v>425</v>
      </c>
      <c r="G131" t="str">
        <f>TEXT(Table1_1[[#This Row],[Joining_Date]],"mmm")</f>
        <v>Aug</v>
      </c>
      <c r="H131" t="str">
        <f>TEXT(Table1_1[[#This Row],[Joining_Date]],"yyyy")</f>
        <v>2018</v>
      </c>
      <c r="I131" s="1">
        <v>43697</v>
      </c>
      <c r="J131" t="s">
        <v>18</v>
      </c>
      <c r="K131">
        <f>IF(Table1_1[[#This Row],[Status]]="Exited",1,0)</f>
        <v>1</v>
      </c>
      <c r="L131">
        <f>IF(Table1_1[[#This Row],[Status]]="Exited",0,1)</f>
        <v>0</v>
      </c>
      <c r="M131">
        <v>798984</v>
      </c>
      <c r="N131">
        <v>3.2</v>
      </c>
      <c r="O131" t="s">
        <v>24</v>
      </c>
      <c r="P131">
        <v>93.2</v>
      </c>
      <c r="Q131" t="str">
        <f t="shared" si="2"/>
        <v>Low</v>
      </c>
      <c r="X131">
        <v>76.8</v>
      </c>
    </row>
    <row r="132" spans="1:24" x14ac:dyDescent="0.3">
      <c r="A132" t="s">
        <v>426</v>
      </c>
      <c r="B132" t="s">
        <v>427</v>
      </c>
      <c r="C132" t="s">
        <v>14</v>
      </c>
      <c r="D132" t="s">
        <v>15</v>
      </c>
      <c r="E132" t="s">
        <v>45</v>
      </c>
      <c r="F132" t="s">
        <v>428</v>
      </c>
      <c r="G132" t="str">
        <f>TEXT(Table1_1[[#This Row],[Joining_Date]],"mmm")</f>
        <v>Mar</v>
      </c>
      <c r="H132" t="str">
        <f>TEXT(Table1_1[[#This Row],[Joining_Date]],"yyyy")</f>
        <v>2019</v>
      </c>
      <c r="I132" s="1">
        <v>43846</v>
      </c>
      <c r="J132" t="s">
        <v>18</v>
      </c>
      <c r="K132">
        <f>IF(Table1_1[[#This Row],[Status]]="Exited",1,0)</f>
        <v>1</v>
      </c>
      <c r="L132">
        <f>IF(Table1_1[[#This Row],[Status]]="Exited",0,1)</f>
        <v>0</v>
      </c>
      <c r="M132">
        <v>1129656</v>
      </c>
      <c r="N132">
        <v>4.3</v>
      </c>
      <c r="O132" t="s">
        <v>24</v>
      </c>
      <c r="P132">
        <v>86.4</v>
      </c>
      <c r="Q132" t="str">
        <f t="shared" si="2"/>
        <v>High</v>
      </c>
      <c r="X132">
        <v>81</v>
      </c>
    </row>
    <row r="133" spans="1:24" x14ac:dyDescent="0.3">
      <c r="A133" t="s">
        <v>429</v>
      </c>
      <c r="B133" t="s">
        <v>430</v>
      </c>
      <c r="C133" t="s">
        <v>22</v>
      </c>
      <c r="D133" t="s">
        <v>49</v>
      </c>
      <c r="E133" t="s">
        <v>45</v>
      </c>
      <c r="F133" t="s">
        <v>431</v>
      </c>
      <c r="G133" t="str">
        <f>TEXT(Table1_1[[#This Row],[Joining_Date]],"mmm")</f>
        <v>Jul</v>
      </c>
      <c r="H133" t="str">
        <f>TEXT(Table1_1[[#This Row],[Joining_Date]],"yyyy")</f>
        <v>2020</v>
      </c>
      <c r="I133" s="1"/>
      <c r="J133" t="s">
        <v>29</v>
      </c>
      <c r="K133">
        <f>IF(Table1_1[[#This Row],[Status]]="Exited",1,0)</f>
        <v>0</v>
      </c>
      <c r="L133">
        <f>IF(Table1_1[[#This Row],[Status]]="Exited",0,1)</f>
        <v>1</v>
      </c>
      <c r="M133">
        <v>1170468</v>
      </c>
      <c r="N133">
        <v>3.7</v>
      </c>
      <c r="O133" t="s">
        <v>19</v>
      </c>
      <c r="P133">
        <v>89.4</v>
      </c>
      <c r="Q133" t="str">
        <f t="shared" si="2"/>
        <v>Low</v>
      </c>
      <c r="X133">
        <v>93.7</v>
      </c>
    </row>
    <row r="134" spans="1:24" x14ac:dyDescent="0.3">
      <c r="A134" t="s">
        <v>432</v>
      </c>
      <c r="B134" t="s">
        <v>433</v>
      </c>
      <c r="C134" t="s">
        <v>14</v>
      </c>
      <c r="D134" t="s">
        <v>15</v>
      </c>
      <c r="E134" t="s">
        <v>45</v>
      </c>
      <c r="F134" t="s">
        <v>434</v>
      </c>
      <c r="G134" t="str">
        <f>TEXT(Table1_1[[#This Row],[Joining_Date]],"mmm")</f>
        <v>Oct</v>
      </c>
      <c r="H134" t="str">
        <f>TEXT(Table1_1[[#This Row],[Joining_Date]],"yyyy")</f>
        <v>2020</v>
      </c>
      <c r="I134" s="1"/>
      <c r="J134" t="s">
        <v>29</v>
      </c>
      <c r="K134">
        <f>IF(Table1_1[[#This Row],[Status]]="Exited",1,0)</f>
        <v>0</v>
      </c>
      <c r="L134">
        <f>IF(Table1_1[[#This Row],[Status]]="Exited",0,1)</f>
        <v>1</v>
      </c>
      <c r="M134">
        <v>860465</v>
      </c>
      <c r="N134">
        <v>3.9</v>
      </c>
      <c r="O134" t="s">
        <v>42</v>
      </c>
      <c r="P134">
        <v>81.599999999999994</v>
      </c>
      <c r="Q134" t="str">
        <f t="shared" si="2"/>
        <v>Low</v>
      </c>
      <c r="X134">
        <v>94.4</v>
      </c>
    </row>
    <row r="135" spans="1:24" x14ac:dyDescent="0.3">
      <c r="A135" t="s">
        <v>435</v>
      </c>
      <c r="B135" t="s">
        <v>436</v>
      </c>
      <c r="C135" t="s">
        <v>61</v>
      </c>
      <c r="D135" t="s">
        <v>15</v>
      </c>
      <c r="E135" t="s">
        <v>27</v>
      </c>
      <c r="F135" t="s">
        <v>437</v>
      </c>
      <c r="G135" t="str">
        <f>TEXT(Table1_1[[#This Row],[Joining_Date]],"mmm")</f>
        <v>Sep</v>
      </c>
      <c r="H135" t="str">
        <f>TEXT(Table1_1[[#This Row],[Joining_Date]],"yyyy")</f>
        <v>2021</v>
      </c>
      <c r="I135" s="1">
        <v>45547</v>
      </c>
      <c r="J135" t="s">
        <v>18</v>
      </c>
      <c r="K135">
        <f>IF(Table1_1[[#This Row],[Status]]="Exited",1,0)</f>
        <v>1</v>
      </c>
      <c r="L135">
        <f>IF(Table1_1[[#This Row],[Status]]="Exited",0,1)</f>
        <v>0</v>
      </c>
      <c r="M135">
        <v>735332</v>
      </c>
      <c r="N135">
        <v>4.5999999999999996</v>
      </c>
      <c r="O135" t="s">
        <v>24</v>
      </c>
      <c r="P135">
        <v>95.4</v>
      </c>
      <c r="Q135" t="str">
        <f t="shared" si="2"/>
        <v>High</v>
      </c>
      <c r="X135">
        <v>88.4</v>
      </c>
    </row>
    <row r="136" spans="1:24" x14ac:dyDescent="0.3">
      <c r="A136" t="s">
        <v>438</v>
      </c>
      <c r="B136" t="s">
        <v>439</v>
      </c>
      <c r="C136" t="s">
        <v>22</v>
      </c>
      <c r="D136" t="s">
        <v>49</v>
      </c>
      <c r="E136" t="s">
        <v>50</v>
      </c>
      <c r="F136" t="s">
        <v>440</v>
      </c>
      <c r="G136" t="str">
        <f>TEXT(Table1_1[[#This Row],[Joining_Date]],"mmm")</f>
        <v>Mar</v>
      </c>
      <c r="H136" t="str">
        <f>TEXT(Table1_1[[#This Row],[Joining_Date]],"yyyy")</f>
        <v>2018</v>
      </c>
      <c r="I136" s="1"/>
      <c r="J136" t="s">
        <v>29</v>
      </c>
      <c r="K136">
        <f>IF(Table1_1[[#This Row],[Status]]="Exited",1,0)</f>
        <v>0</v>
      </c>
      <c r="L136">
        <f>IF(Table1_1[[#This Row],[Status]]="Exited",0,1)</f>
        <v>1</v>
      </c>
      <c r="M136">
        <v>1052357</v>
      </c>
      <c r="N136">
        <v>2.4</v>
      </c>
      <c r="O136" t="s">
        <v>30</v>
      </c>
      <c r="P136">
        <v>80.3</v>
      </c>
      <c r="Q136" t="str">
        <f t="shared" si="2"/>
        <v>Low</v>
      </c>
      <c r="X136">
        <v>85.3</v>
      </c>
    </row>
    <row r="137" spans="1:24" x14ac:dyDescent="0.3">
      <c r="A137" t="s">
        <v>441</v>
      </c>
      <c r="B137" t="s">
        <v>442</v>
      </c>
      <c r="C137" t="s">
        <v>14</v>
      </c>
      <c r="D137" t="s">
        <v>15</v>
      </c>
      <c r="E137" t="s">
        <v>16</v>
      </c>
      <c r="F137" t="s">
        <v>443</v>
      </c>
      <c r="G137" t="str">
        <f>TEXT(Table1_1[[#This Row],[Joining_Date]],"mmm")</f>
        <v>Apr</v>
      </c>
      <c r="H137" t="str">
        <f>TEXT(Table1_1[[#This Row],[Joining_Date]],"yyyy")</f>
        <v>2018</v>
      </c>
      <c r="I137" s="1">
        <v>43660</v>
      </c>
      <c r="J137" t="s">
        <v>18</v>
      </c>
      <c r="K137">
        <f>IF(Table1_1[[#This Row],[Status]]="Exited",1,0)</f>
        <v>1</v>
      </c>
      <c r="L137">
        <f>IF(Table1_1[[#This Row],[Status]]="Exited",0,1)</f>
        <v>0</v>
      </c>
      <c r="M137">
        <v>733451</v>
      </c>
      <c r="N137">
        <v>3.5</v>
      </c>
      <c r="O137" t="s">
        <v>24</v>
      </c>
      <c r="P137">
        <v>87.4</v>
      </c>
      <c r="Q137" t="str">
        <f t="shared" si="2"/>
        <v>Low</v>
      </c>
      <c r="X137">
        <v>92.3</v>
      </c>
    </row>
    <row r="138" spans="1:24" x14ac:dyDescent="0.3">
      <c r="A138" t="s">
        <v>444</v>
      </c>
      <c r="B138" t="s">
        <v>445</v>
      </c>
      <c r="C138" t="s">
        <v>14</v>
      </c>
      <c r="D138" t="s">
        <v>10</v>
      </c>
      <c r="E138" t="s">
        <v>16</v>
      </c>
      <c r="F138" t="s">
        <v>251</v>
      </c>
      <c r="G138" t="str">
        <f>TEXT(Table1_1[[#This Row],[Joining_Date]],"mmm")</f>
        <v>Mar</v>
      </c>
      <c r="H138" t="str">
        <f>TEXT(Table1_1[[#This Row],[Joining_Date]],"yyyy")</f>
        <v>2023</v>
      </c>
      <c r="I138" s="1">
        <v>45512</v>
      </c>
      <c r="J138" t="s">
        <v>18</v>
      </c>
      <c r="K138">
        <f>IF(Table1_1[[#This Row],[Status]]="Exited",1,0)</f>
        <v>1</v>
      </c>
      <c r="L138">
        <f>IF(Table1_1[[#This Row],[Status]]="Exited",0,1)</f>
        <v>0</v>
      </c>
      <c r="M138">
        <v>805564</v>
      </c>
      <c r="N138">
        <v>3.5</v>
      </c>
      <c r="O138" t="s">
        <v>42</v>
      </c>
      <c r="P138">
        <v>85.6</v>
      </c>
      <c r="Q138" t="str">
        <f t="shared" si="2"/>
        <v>Low</v>
      </c>
      <c r="X138">
        <v>78.2</v>
      </c>
    </row>
    <row r="139" spans="1:24" x14ac:dyDescent="0.3">
      <c r="A139" t="s">
        <v>446</v>
      </c>
      <c r="B139" t="s">
        <v>447</v>
      </c>
      <c r="C139" t="s">
        <v>54</v>
      </c>
      <c r="D139" t="s">
        <v>15</v>
      </c>
      <c r="E139" t="s">
        <v>27</v>
      </c>
      <c r="F139" t="s">
        <v>317</v>
      </c>
      <c r="G139" t="str">
        <f>TEXT(Table1_1[[#This Row],[Joining_Date]],"mmm")</f>
        <v>Jul</v>
      </c>
      <c r="H139" t="str">
        <f>TEXT(Table1_1[[#This Row],[Joining_Date]],"yyyy")</f>
        <v>2020</v>
      </c>
      <c r="I139" s="1">
        <v>44406</v>
      </c>
      <c r="J139" t="s">
        <v>18</v>
      </c>
      <c r="K139">
        <f>IF(Table1_1[[#This Row],[Status]]="Exited",1,0)</f>
        <v>1</v>
      </c>
      <c r="L139">
        <f>IF(Table1_1[[#This Row],[Status]]="Exited",0,1)</f>
        <v>0</v>
      </c>
      <c r="M139">
        <v>474175</v>
      </c>
      <c r="N139">
        <v>3.8</v>
      </c>
      <c r="O139" t="s">
        <v>19</v>
      </c>
      <c r="P139">
        <v>99.6</v>
      </c>
      <c r="Q139" t="str">
        <f t="shared" si="2"/>
        <v>Low</v>
      </c>
      <c r="X139">
        <v>98.8</v>
      </c>
    </row>
    <row r="140" spans="1:24" x14ac:dyDescent="0.3">
      <c r="A140" t="s">
        <v>448</v>
      </c>
      <c r="B140" t="s">
        <v>449</v>
      </c>
      <c r="C140" t="s">
        <v>37</v>
      </c>
      <c r="D140" t="s">
        <v>33</v>
      </c>
      <c r="E140" t="s">
        <v>27</v>
      </c>
      <c r="F140" t="s">
        <v>450</v>
      </c>
      <c r="G140" t="str">
        <f>TEXT(Table1_1[[#This Row],[Joining_Date]],"mmm")</f>
        <v>Jul</v>
      </c>
      <c r="H140" t="str">
        <f>TEXT(Table1_1[[#This Row],[Joining_Date]],"yyyy")</f>
        <v>2019</v>
      </c>
      <c r="I140" s="1">
        <v>44823</v>
      </c>
      <c r="J140" t="s">
        <v>18</v>
      </c>
      <c r="K140">
        <f>IF(Table1_1[[#This Row],[Status]]="Exited",1,0)</f>
        <v>1</v>
      </c>
      <c r="L140">
        <f>IF(Table1_1[[#This Row],[Status]]="Exited",0,1)</f>
        <v>0</v>
      </c>
      <c r="M140">
        <v>435713</v>
      </c>
      <c r="N140">
        <v>4</v>
      </c>
      <c r="O140" t="s">
        <v>19</v>
      </c>
      <c r="P140">
        <v>85.9</v>
      </c>
      <c r="Q140" t="str">
        <f t="shared" si="2"/>
        <v>Low</v>
      </c>
      <c r="X140">
        <v>81.3</v>
      </c>
    </row>
    <row r="141" spans="1:24" x14ac:dyDescent="0.3">
      <c r="A141" t="s">
        <v>452</v>
      </c>
      <c r="B141" t="s">
        <v>453</v>
      </c>
      <c r="C141" t="s">
        <v>22</v>
      </c>
      <c r="D141" t="s">
        <v>15</v>
      </c>
      <c r="E141" t="s">
        <v>50</v>
      </c>
      <c r="F141" t="s">
        <v>454</v>
      </c>
      <c r="G141" t="str">
        <f>TEXT(Table1_1[[#This Row],[Joining_Date]],"mmm")</f>
        <v>Jul</v>
      </c>
      <c r="H141" t="str">
        <f>TEXT(Table1_1[[#This Row],[Joining_Date]],"yyyy")</f>
        <v>2022</v>
      </c>
      <c r="I141" s="1"/>
      <c r="J141" t="s">
        <v>29</v>
      </c>
      <c r="K141">
        <f>IF(Table1_1[[#This Row],[Status]]="Exited",1,0)</f>
        <v>0</v>
      </c>
      <c r="L141">
        <f>IF(Table1_1[[#This Row],[Status]]="Exited",0,1)</f>
        <v>1</v>
      </c>
      <c r="M141">
        <v>550263</v>
      </c>
      <c r="N141">
        <v>4</v>
      </c>
      <c r="O141" t="s">
        <v>24</v>
      </c>
      <c r="P141">
        <v>91.5</v>
      </c>
      <c r="Q141" t="str">
        <f t="shared" si="2"/>
        <v>Low</v>
      </c>
      <c r="X141">
        <v>91.7</v>
      </c>
    </row>
    <row r="142" spans="1:24" x14ac:dyDescent="0.3">
      <c r="A142" t="s">
        <v>455</v>
      </c>
      <c r="B142" t="s">
        <v>456</v>
      </c>
      <c r="C142" t="s">
        <v>22</v>
      </c>
      <c r="D142" t="s">
        <v>49</v>
      </c>
      <c r="E142" t="s">
        <v>50</v>
      </c>
      <c r="F142" t="s">
        <v>106</v>
      </c>
      <c r="G142" t="str">
        <f>TEXT(Table1_1[[#This Row],[Joining_Date]],"mmm")</f>
        <v>Jul</v>
      </c>
      <c r="H142" t="str">
        <f>TEXT(Table1_1[[#This Row],[Joining_Date]],"yyyy")</f>
        <v>2020</v>
      </c>
      <c r="I142" s="1"/>
      <c r="J142" t="s">
        <v>29</v>
      </c>
      <c r="K142">
        <f>IF(Table1_1[[#This Row],[Status]]="Exited",1,0)</f>
        <v>0</v>
      </c>
      <c r="L142">
        <f>IF(Table1_1[[#This Row],[Status]]="Exited",0,1)</f>
        <v>1</v>
      </c>
      <c r="M142">
        <v>269790</v>
      </c>
      <c r="N142">
        <v>3.5</v>
      </c>
      <c r="O142" t="s">
        <v>24</v>
      </c>
      <c r="P142">
        <v>77</v>
      </c>
      <c r="Q142" t="str">
        <f t="shared" si="2"/>
        <v>Low</v>
      </c>
      <c r="X142">
        <v>89.9</v>
      </c>
    </row>
    <row r="143" spans="1:24" x14ac:dyDescent="0.3">
      <c r="A143" t="s">
        <v>457</v>
      </c>
      <c r="B143" t="s">
        <v>458</v>
      </c>
      <c r="C143" t="s">
        <v>54</v>
      </c>
      <c r="D143" t="s">
        <v>49</v>
      </c>
      <c r="E143" t="s">
        <v>27</v>
      </c>
      <c r="F143" t="s">
        <v>459</v>
      </c>
      <c r="G143" t="str">
        <f>TEXT(Table1_1[[#This Row],[Joining_Date]],"mmm")</f>
        <v>Feb</v>
      </c>
      <c r="H143" t="str">
        <f>TEXT(Table1_1[[#This Row],[Joining_Date]],"yyyy")</f>
        <v>2020</v>
      </c>
      <c r="I143" s="1"/>
      <c r="J143" t="s">
        <v>29</v>
      </c>
      <c r="K143">
        <f>IF(Table1_1[[#This Row],[Status]]="Exited",1,0)</f>
        <v>0</v>
      </c>
      <c r="L143">
        <f>IF(Table1_1[[#This Row],[Status]]="Exited",0,1)</f>
        <v>1</v>
      </c>
      <c r="M143">
        <v>557780</v>
      </c>
      <c r="N143">
        <v>4.7</v>
      </c>
      <c r="O143" t="s">
        <v>30</v>
      </c>
      <c r="P143">
        <v>75.8</v>
      </c>
      <c r="Q143" t="str">
        <f t="shared" si="2"/>
        <v>High</v>
      </c>
      <c r="X143">
        <v>85.5</v>
      </c>
    </row>
    <row r="144" spans="1:24" x14ac:dyDescent="0.3">
      <c r="A144" t="s">
        <v>460</v>
      </c>
      <c r="B144" t="s">
        <v>461</v>
      </c>
      <c r="C144" t="s">
        <v>22</v>
      </c>
      <c r="D144" t="s">
        <v>49</v>
      </c>
      <c r="E144" t="s">
        <v>45</v>
      </c>
      <c r="F144" t="s">
        <v>462</v>
      </c>
      <c r="G144" t="str">
        <f>TEXT(Table1_1[[#This Row],[Joining_Date]],"mmm")</f>
        <v>Jul</v>
      </c>
      <c r="H144" t="str">
        <f>TEXT(Table1_1[[#This Row],[Joining_Date]],"yyyy")</f>
        <v>2022</v>
      </c>
      <c r="I144" s="1">
        <v>45180</v>
      </c>
      <c r="J144" t="s">
        <v>18</v>
      </c>
      <c r="K144">
        <f>IF(Table1_1[[#This Row],[Status]]="Exited",1,0)</f>
        <v>1</v>
      </c>
      <c r="L144">
        <f>IF(Table1_1[[#This Row],[Status]]="Exited",0,1)</f>
        <v>0</v>
      </c>
      <c r="M144">
        <v>208539</v>
      </c>
      <c r="N144">
        <v>4.0999999999999996</v>
      </c>
      <c r="O144" t="s">
        <v>42</v>
      </c>
      <c r="P144">
        <v>82</v>
      </c>
      <c r="Q144" t="str">
        <f t="shared" si="2"/>
        <v>High</v>
      </c>
      <c r="X144">
        <v>84.3</v>
      </c>
    </row>
    <row r="145" spans="1:24" x14ac:dyDescent="0.3">
      <c r="A145" t="s">
        <v>463</v>
      </c>
      <c r="B145" t="s">
        <v>464</v>
      </c>
      <c r="C145" t="s">
        <v>14</v>
      </c>
      <c r="D145" t="s">
        <v>10</v>
      </c>
      <c r="E145" t="s">
        <v>27</v>
      </c>
      <c r="F145" t="s">
        <v>465</v>
      </c>
      <c r="G145" t="str">
        <f>TEXT(Table1_1[[#This Row],[Joining_Date]],"mmm")</f>
        <v>Mar</v>
      </c>
      <c r="H145" t="str">
        <f>TEXT(Table1_1[[#This Row],[Joining_Date]],"yyyy")</f>
        <v>2019</v>
      </c>
      <c r="I145" s="1">
        <v>44706</v>
      </c>
      <c r="J145" t="s">
        <v>18</v>
      </c>
      <c r="K145">
        <f>IF(Table1_1[[#This Row],[Status]]="Exited",1,0)</f>
        <v>1</v>
      </c>
      <c r="L145">
        <f>IF(Table1_1[[#This Row],[Status]]="Exited",0,1)</f>
        <v>0</v>
      </c>
      <c r="M145">
        <v>791427</v>
      </c>
      <c r="N145">
        <v>2.7</v>
      </c>
      <c r="O145" t="s">
        <v>30</v>
      </c>
      <c r="P145">
        <v>77.3</v>
      </c>
      <c r="Q145" t="str">
        <f t="shared" si="2"/>
        <v>Low</v>
      </c>
      <c r="X145">
        <v>82.6</v>
      </c>
    </row>
    <row r="146" spans="1:24" x14ac:dyDescent="0.3">
      <c r="A146" t="s">
        <v>466</v>
      </c>
      <c r="B146" t="s">
        <v>467</v>
      </c>
      <c r="C146" t="s">
        <v>54</v>
      </c>
      <c r="D146" t="s">
        <v>33</v>
      </c>
      <c r="E146" t="s">
        <v>50</v>
      </c>
      <c r="F146" t="s">
        <v>468</v>
      </c>
      <c r="G146" t="str">
        <f>TEXT(Table1_1[[#This Row],[Joining_Date]],"mmm")</f>
        <v>Jul</v>
      </c>
      <c r="H146" t="str">
        <f>TEXT(Table1_1[[#This Row],[Joining_Date]],"yyyy")</f>
        <v>2022</v>
      </c>
      <c r="I146" s="1"/>
      <c r="J146" t="s">
        <v>29</v>
      </c>
      <c r="K146">
        <f>IF(Table1_1[[#This Row],[Status]]="Exited",1,0)</f>
        <v>0</v>
      </c>
      <c r="L146">
        <f>IF(Table1_1[[#This Row],[Status]]="Exited",0,1)</f>
        <v>1</v>
      </c>
      <c r="M146">
        <v>1048905</v>
      </c>
      <c r="N146">
        <v>2.6</v>
      </c>
      <c r="O146" t="s">
        <v>42</v>
      </c>
      <c r="P146">
        <v>91.5</v>
      </c>
      <c r="Q146" t="str">
        <f t="shared" si="2"/>
        <v>Low</v>
      </c>
      <c r="X146">
        <v>97.4</v>
      </c>
    </row>
    <row r="147" spans="1:24" x14ac:dyDescent="0.3">
      <c r="A147" t="s">
        <v>469</v>
      </c>
      <c r="B147" t="s">
        <v>470</v>
      </c>
      <c r="C147" t="s">
        <v>54</v>
      </c>
      <c r="D147" t="s">
        <v>10</v>
      </c>
      <c r="E147" t="s">
        <v>16</v>
      </c>
      <c r="F147" t="s">
        <v>471</v>
      </c>
      <c r="G147" t="str">
        <f>TEXT(Table1_1[[#This Row],[Joining_Date]],"mmm")</f>
        <v>Dec</v>
      </c>
      <c r="H147" t="str">
        <f>TEXT(Table1_1[[#This Row],[Joining_Date]],"yyyy")</f>
        <v>2020</v>
      </c>
      <c r="I147" s="1">
        <v>45315</v>
      </c>
      <c r="J147" t="s">
        <v>18</v>
      </c>
      <c r="K147">
        <f>IF(Table1_1[[#This Row],[Status]]="Exited",1,0)</f>
        <v>1</v>
      </c>
      <c r="L147">
        <f>IF(Table1_1[[#This Row],[Status]]="Exited",0,1)</f>
        <v>0</v>
      </c>
      <c r="M147">
        <v>1128763</v>
      </c>
      <c r="N147">
        <v>4.3</v>
      </c>
      <c r="O147" t="s">
        <v>30</v>
      </c>
      <c r="P147">
        <v>89.1</v>
      </c>
      <c r="Q147" t="str">
        <f t="shared" si="2"/>
        <v>High</v>
      </c>
      <c r="X147">
        <v>95.3</v>
      </c>
    </row>
    <row r="148" spans="1:24" x14ac:dyDescent="0.3">
      <c r="A148" t="s">
        <v>472</v>
      </c>
      <c r="B148" t="s">
        <v>473</v>
      </c>
      <c r="C148" t="s">
        <v>37</v>
      </c>
      <c r="D148" t="s">
        <v>10</v>
      </c>
      <c r="E148" t="s">
        <v>16</v>
      </c>
      <c r="F148" t="s">
        <v>474</v>
      </c>
      <c r="G148" t="str">
        <f>TEXT(Table1_1[[#This Row],[Joining_Date]],"mmm")</f>
        <v>Feb</v>
      </c>
      <c r="H148" t="str">
        <f>TEXT(Table1_1[[#This Row],[Joining_Date]],"yyyy")</f>
        <v>2018</v>
      </c>
      <c r="I148" s="1"/>
      <c r="J148" t="s">
        <v>29</v>
      </c>
      <c r="K148">
        <f>IF(Table1_1[[#This Row],[Status]]="Exited",1,0)</f>
        <v>0</v>
      </c>
      <c r="L148">
        <f>IF(Table1_1[[#This Row],[Status]]="Exited",0,1)</f>
        <v>1</v>
      </c>
      <c r="M148">
        <v>868140</v>
      </c>
      <c r="N148">
        <v>2.7</v>
      </c>
      <c r="O148" t="s">
        <v>42</v>
      </c>
      <c r="P148">
        <v>98.3</v>
      </c>
      <c r="Q148" t="str">
        <f t="shared" si="2"/>
        <v>Low</v>
      </c>
      <c r="X148">
        <v>81.7</v>
      </c>
    </row>
    <row r="149" spans="1:24" x14ac:dyDescent="0.3">
      <c r="A149" t="s">
        <v>475</v>
      </c>
      <c r="B149" t="s">
        <v>476</v>
      </c>
      <c r="C149" t="s">
        <v>54</v>
      </c>
      <c r="D149" t="s">
        <v>33</v>
      </c>
      <c r="E149" t="s">
        <v>50</v>
      </c>
      <c r="F149" t="s">
        <v>477</v>
      </c>
      <c r="G149" t="str">
        <f>TEXT(Table1_1[[#This Row],[Joining_Date]],"mmm")</f>
        <v>Jan</v>
      </c>
      <c r="H149" t="str">
        <f>TEXT(Table1_1[[#This Row],[Joining_Date]],"yyyy")</f>
        <v>2023</v>
      </c>
      <c r="I149" s="1">
        <v>45415</v>
      </c>
      <c r="J149" t="s">
        <v>18</v>
      </c>
      <c r="K149">
        <f>IF(Table1_1[[#This Row],[Status]]="Exited",1,0)</f>
        <v>1</v>
      </c>
      <c r="L149">
        <f>IF(Table1_1[[#This Row],[Status]]="Exited",0,1)</f>
        <v>0</v>
      </c>
      <c r="M149">
        <v>996229</v>
      </c>
      <c r="N149">
        <v>3.9</v>
      </c>
      <c r="O149" t="s">
        <v>24</v>
      </c>
      <c r="P149">
        <v>80.8</v>
      </c>
      <c r="Q149" t="str">
        <f t="shared" si="2"/>
        <v>Low</v>
      </c>
      <c r="X149">
        <v>88.1</v>
      </c>
    </row>
    <row r="150" spans="1:24" x14ac:dyDescent="0.3">
      <c r="A150" t="s">
        <v>479</v>
      </c>
      <c r="B150" t="s">
        <v>480</v>
      </c>
      <c r="C150" t="s">
        <v>14</v>
      </c>
      <c r="D150" t="s">
        <v>49</v>
      </c>
      <c r="E150" t="s">
        <v>16</v>
      </c>
      <c r="F150" t="s">
        <v>481</v>
      </c>
      <c r="G150" t="str">
        <f>TEXT(Table1_1[[#This Row],[Joining_Date]],"mmm")</f>
        <v>Apr</v>
      </c>
      <c r="H150" t="str">
        <f>TEXT(Table1_1[[#This Row],[Joining_Date]],"yyyy")</f>
        <v>2019</v>
      </c>
      <c r="I150" s="1"/>
      <c r="J150" t="s">
        <v>29</v>
      </c>
      <c r="K150">
        <f>IF(Table1_1[[#This Row],[Status]]="Exited",1,0)</f>
        <v>0</v>
      </c>
      <c r="L150">
        <f>IF(Table1_1[[#This Row],[Status]]="Exited",0,1)</f>
        <v>1</v>
      </c>
      <c r="M150">
        <v>236335</v>
      </c>
      <c r="N150">
        <v>2.7</v>
      </c>
      <c r="O150" t="s">
        <v>24</v>
      </c>
      <c r="P150">
        <v>77.099999999999994</v>
      </c>
      <c r="Q150" t="str">
        <f t="shared" si="2"/>
        <v>Low</v>
      </c>
      <c r="X150">
        <v>79.400000000000006</v>
      </c>
    </row>
    <row r="151" spans="1:24" x14ac:dyDescent="0.3">
      <c r="A151" t="s">
        <v>482</v>
      </c>
      <c r="B151" t="s">
        <v>483</v>
      </c>
      <c r="C151" t="s">
        <v>37</v>
      </c>
      <c r="D151" t="s">
        <v>33</v>
      </c>
      <c r="E151" t="s">
        <v>27</v>
      </c>
      <c r="F151" t="s">
        <v>484</v>
      </c>
      <c r="G151" t="str">
        <f>TEXT(Table1_1[[#This Row],[Joining_Date]],"mmm")</f>
        <v>Feb</v>
      </c>
      <c r="H151" t="str">
        <f>TEXT(Table1_1[[#This Row],[Joining_Date]],"yyyy")</f>
        <v>2018</v>
      </c>
      <c r="I151" s="1"/>
      <c r="J151" t="s">
        <v>29</v>
      </c>
      <c r="K151">
        <f>IF(Table1_1[[#This Row],[Status]]="Exited",1,0)</f>
        <v>0</v>
      </c>
      <c r="L151">
        <f>IF(Table1_1[[#This Row],[Status]]="Exited",0,1)</f>
        <v>1</v>
      </c>
      <c r="M151">
        <v>434100</v>
      </c>
      <c r="N151">
        <v>4</v>
      </c>
      <c r="O151" t="s">
        <v>24</v>
      </c>
      <c r="P151">
        <v>99.8</v>
      </c>
      <c r="Q151" t="str">
        <f t="shared" si="2"/>
        <v>Low</v>
      </c>
      <c r="X151">
        <v>79.599999999999994</v>
      </c>
    </row>
    <row r="152" spans="1:24" x14ac:dyDescent="0.3">
      <c r="A152" t="s">
        <v>485</v>
      </c>
      <c r="B152" t="s">
        <v>486</v>
      </c>
      <c r="C152" t="s">
        <v>61</v>
      </c>
      <c r="D152" t="s">
        <v>49</v>
      </c>
      <c r="E152" t="s">
        <v>27</v>
      </c>
      <c r="F152" t="s">
        <v>487</v>
      </c>
      <c r="G152" t="str">
        <f>TEXT(Table1_1[[#This Row],[Joining_Date]],"mmm")</f>
        <v>Jan</v>
      </c>
      <c r="H152" t="str">
        <f>TEXT(Table1_1[[#This Row],[Joining_Date]],"yyyy")</f>
        <v>2020</v>
      </c>
      <c r="I152" s="1">
        <v>44024</v>
      </c>
      <c r="J152" t="s">
        <v>18</v>
      </c>
      <c r="K152">
        <f>IF(Table1_1[[#This Row],[Status]]="Exited",1,0)</f>
        <v>1</v>
      </c>
      <c r="L152">
        <f>IF(Table1_1[[#This Row],[Status]]="Exited",0,1)</f>
        <v>0</v>
      </c>
      <c r="M152">
        <v>271114</v>
      </c>
      <c r="N152">
        <v>4.5999999999999996</v>
      </c>
      <c r="O152" t="s">
        <v>30</v>
      </c>
      <c r="P152">
        <v>83.1</v>
      </c>
      <c r="Q152" t="str">
        <f t="shared" si="2"/>
        <v>High</v>
      </c>
      <c r="X152">
        <v>89.5</v>
      </c>
    </row>
    <row r="153" spans="1:24" x14ac:dyDescent="0.3">
      <c r="A153" t="s">
        <v>488</v>
      </c>
      <c r="B153" t="s">
        <v>489</v>
      </c>
      <c r="C153" t="s">
        <v>37</v>
      </c>
      <c r="D153" t="s">
        <v>33</v>
      </c>
      <c r="E153" t="s">
        <v>50</v>
      </c>
      <c r="F153" t="s">
        <v>490</v>
      </c>
      <c r="G153" t="str">
        <f>TEXT(Table1_1[[#This Row],[Joining_Date]],"mmm")</f>
        <v>Jan</v>
      </c>
      <c r="H153" t="str">
        <f>TEXT(Table1_1[[#This Row],[Joining_Date]],"yyyy")</f>
        <v>2019</v>
      </c>
      <c r="I153" s="1">
        <v>44399</v>
      </c>
      <c r="J153" t="s">
        <v>18</v>
      </c>
      <c r="K153">
        <f>IF(Table1_1[[#This Row],[Status]]="Exited",1,0)</f>
        <v>1</v>
      </c>
      <c r="L153">
        <f>IF(Table1_1[[#This Row],[Status]]="Exited",0,1)</f>
        <v>0</v>
      </c>
      <c r="M153">
        <v>206779</v>
      </c>
      <c r="N153">
        <v>3</v>
      </c>
      <c r="O153" t="s">
        <v>19</v>
      </c>
      <c r="P153">
        <v>95.9</v>
      </c>
      <c r="Q153" t="str">
        <f t="shared" si="2"/>
        <v>Low</v>
      </c>
      <c r="X153">
        <v>82.4</v>
      </c>
    </row>
    <row r="154" spans="1:24" x14ac:dyDescent="0.3">
      <c r="A154" t="s">
        <v>491</v>
      </c>
      <c r="B154" t="s">
        <v>492</v>
      </c>
      <c r="C154" t="s">
        <v>14</v>
      </c>
      <c r="D154" t="s">
        <v>10</v>
      </c>
      <c r="E154" t="s">
        <v>27</v>
      </c>
      <c r="F154" t="s">
        <v>128</v>
      </c>
      <c r="G154" t="str">
        <f>TEXT(Table1_1[[#This Row],[Joining_Date]],"mmm")</f>
        <v>Dec</v>
      </c>
      <c r="H154" t="str">
        <f>TEXT(Table1_1[[#This Row],[Joining_Date]],"yyyy")</f>
        <v>2021</v>
      </c>
      <c r="I154" s="1">
        <v>45319</v>
      </c>
      <c r="J154" t="s">
        <v>18</v>
      </c>
      <c r="K154">
        <f>IF(Table1_1[[#This Row],[Status]]="Exited",1,0)</f>
        <v>1</v>
      </c>
      <c r="L154">
        <f>IF(Table1_1[[#This Row],[Status]]="Exited",0,1)</f>
        <v>0</v>
      </c>
      <c r="M154">
        <v>742103</v>
      </c>
      <c r="N154">
        <v>4.7</v>
      </c>
      <c r="O154" t="s">
        <v>19</v>
      </c>
      <c r="P154">
        <v>88.3</v>
      </c>
      <c r="Q154" t="str">
        <f t="shared" si="2"/>
        <v>High</v>
      </c>
      <c r="X154">
        <v>95</v>
      </c>
    </row>
    <row r="155" spans="1:24" x14ac:dyDescent="0.3">
      <c r="A155" t="s">
        <v>493</v>
      </c>
      <c r="B155" t="s">
        <v>494</v>
      </c>
      <c r="C155" t="s">
        <v>54</v>
      </c>
      <c r="D155" t="s">
        <v>33</v>
      </c>
      <c r="E155" t="s">
        <v>50</v>
      </c>
      <c r="F155" t="s">
        <v>495</v>
      </c>
      <c r="G155" t="str">
        <f>TEXT(Table1_1[[#This Row],[Joining_Date]],"mmm")</f>
        <v>Aug</v>
      </c>
      <c r="H155" t="str">
        <f>TEXT(Table1_1[[#This Row],[Joining_Date]],"yyyy")</f>
        <v>2023</v>
      </c>
      <c r="I155" s="1"/>
      <c r="J155" t="s">
        <v>29</v>
      </c>
      <c r="K155">
        <f>IF(Table1_1[[#This Row],[Status]]="Exited",1,0)</f>
        <v>0</v>
      </c>
      <c r="L155">
        <f>IF(Table1_1[[#This Row],[Status]]="Exited",0,1)</f>
        <v>1</v>
      </c>
      <c r="M155">
        <v>487637</v>
      </c>
      <c r="N155">
        <v>2.2000000000000002</v>
      </c>
      <c r="O155" t="s">
        <v>24</v>
      </c>
      <c r="P155">
        <v>89.8</v>
      </c>
      <c r="Q155" t="str">
        <f t="shared" si="2"/>
        <v>Low</v>
      </c>
      <c r="X155">
        <v>100</v>
      </c>
    </row>
    <row r="156" spans="1:24" x14ac:dyDescent="0.3">
      <c r="A156" t="s">
        <v>496</v>
      </c>
      <c r="B156" t="s">
        <v>497</v>
      </c>
      <c r="C156" t="s">
        <v>14</v>
      </c>
      <c r="D156" t="s">
        <v>10</v>
      </c>
      <c r="E156" t="s">
        <v>50</v>
      </c>
      <c r="F156" t="s">
        <v>498</v>
      </c>
      <c r="G156" t="str">
        <f>TEXT(Table1_1[[#This Row],[Joining_Date]],"mmm")</f>
        <v>Jan</v>
      </c>
      <c r="H156" t="str">
        <f>TEXT(Table1_1[[#This Row],[Joining_Date]],"yyyy")</f>
        <v>2019</v>
      </c>
      <c r="I156" s="1"/>
      <c r="J156" t="s">
        <v>29</v>
      </c>
      <c r="K156">
        <f>IF(Table1_1[[#This Row],[Status]]="Exited",1,0)</f>
        <v>0</v>
      </c>
      <c r="L156">
        <f>IF(Table1_1[[#This Row],[Status]]="Exited",0,1)</f>
        <v>1</v>
      </c>
      <c r="M156">
        <v>562986</v>
      </c>
      <c r="N156">
        <v>3.2</v>
      </c>
      <c r="O156" t="s">
        <v>19</v>
      </c>
      <c r="P156">
        <v>88.9</v>
      </c>
      <c r="Q156" t="str">
        <f t="shared" si="2"/>
        <v>Low</v>
      </c>
      <c r="X156">
        <v>79.3</v>
      </c>
    </row>
    <row r="157" spans="1:24" x14ac:dyDescent="0.3">
      <c r="A157" t="s">
        <v>499</v>
      </c>
      <c r="B157" t="s">
        <v>500</v>
      </c>
      <c r="C157" t="s">
        <v>22</v>
      </c>
      <c r="D157" t="s">
        <v>15</v>
      </c>
      <c r="E157" t="s">
        <v>27</v>
      </c>
      <c r="F157" t="s">
        <v>501</v>
      </c>
      <c r="G157" t="str">
        <f>TEXT(Table1_1[[#This Row],[Joining_Date]],"mmm")</f>
        <v>Nov</v>
      </c>
      <c r="H157" t="str">
        <f>TEXT(Table1_1[[#This Row],[Joining_Date]],"yyyy")</f>
        <v>2023</v>
      </c>
      <c r="I157" s="1">
        <v>45823</v>
      </c>
      <c r="J157" t="s">
        <v>18</v>
      </c>
      <c r="K157">
        <f>IF(Table1_1[[#This Row],[Status]]="Exited",1,0)</f>
        <v>1</v>
      </c>
      <c r="L157">
        <f>IF(Table1_1[[#This Row],[Status]]="Exited",0,1)</f>
        <v>0</v>
      </c>
      <c r="M157">
        <v>628802</v>
      </c>
      <c r="N157">
        <v>4.4000000000000004</v>
      </c>
      <c r="O157" t="s">
        <v>24</v>
      </c>
      <c r="P157">
        <v>76.7</v>
      </c>
      <c r="Q157" t="str">
        <f t="shared" si="2"/>
        <v>High</v>
      </c>
      <c r="X157">
        <v>90.3</v>
      </c>
    </row>
    <row r="158" spans="1:24" x14ac:dyDescent="0.3">
      <c r="A158" t="s">
        <v>502</v>
      </c>
      <c r="B158" t="s">
        <v>503</v>
      </c>
      <c r="C158" t="s">
        <v>54</v>
      </c>
      <c r="D158" t="s">
        <v>49</v>
      </c>
      <c r="E158" t="s">
        <v>45</v>
      </c>
      <c r="F158" t="s">
        <v>504</v>
      </c>
      <c r="G158" t="str">
        <f>TEXT(Table1_1[[#This Row],[Joining_Date]],"mmm")</f>
        <v>Sep</v>
      </c>
      <c r="H158" t="str">
        <f>TEXT(Table1_1[[#This Row],[Joining_Date]],"yyyy")</f>
        <v>2018</v>
      </c>
      <c r="I158" s="1">
        <v>44533</v>
      </c>
      <c r="J158" t="s">
        <v>18</v>
      </c>
      <c r="K158">
        <f>IF(Table1_1[[#This Row],[Status]]="Exited",1,0)</f>
        <v>1</v>
      </c>
      <c r="L158">
        <f>IF(Table1_1[[#This Row],[Status]]="Exited",0,1)</f>
        <v>0</v>
      </c>
      <c r="M158">
        <v>399351</v>
      </c>
      <c r="N158">
        <v>4.7</v>
      </c>
      <c r="O158" t="s">
        <v>30</v>
      </c>
      <c r="P158">
        <v>95.9</v>
      </c>
      <c r="Q158" t="str">
        <f t="shared" si="2"/>
        <v>High</v>
      </c>
      <c r="X158">
        <v>91.1</v>
      </c>
    </row>
    <row r="159" spans="1:24" x14ac:dyDescent="0.3">
      <c r="A159" t="s">
        <v>505</v>
      </c>
      <c r="B159" t="s">
        <v>506</v>
      </c>
      <c r="C159" t="s">
        <v>37</v>
      </c>
      <c r="D159" t="s">
        <v>49</v>
      </c>
      <c r="E159" t="s">
        <v>50</v>
      </c>
      <c r="F159" t="s">
        <v>507</v>
      </c>
      <c r="G159" t="str">
        <f>TEXT(Table1_1[[#This Row],[Joining_Date]],"mmm")</f>
        <v>Sep</v>
      </c>
      <c r="H159" t="str">
        <f>TEXT(Table1_1[[#This Row],[Joining_Date]],"yyyy")</f>
        <v>2020</v>
      </c>
      <c r="I159" s="1"/>
      <c r="J159" t="s">
        <v>29</v>
      </c>
      <c r="K159">
        <f>IF(Table1_1[[#This Row],[Status]]="Exited",1,0)</f>
        <v>0</v>
      </c>
      <c r="L159">
        <f>IF(Table1_1[[#This Row],[Status]]="Exited",0,1)</f>
        <v>1</v>
      </c>
      <c r="M159">
        <v>469857</v>
      </c>
      <c r="N159">
        <v>3.5</v>
      </c>
      <c r="O159" t="s">
        <v>42</v>
      </c>
      <c r="P159">
        <v>80.599999999999994</v>
      </c>
      <c r="Q159" t="str">
        <f t="shared" si="2"/>
        <v>Low</v>
      </c>
      <c r="X159">
        <v>85.4</v>
      </c>
    </row>
    <row r="160" spans="1:24" x14ac:dyDescent="0.3">
      <c r="A160" t="s">
        <v>508</v>
      </c>
      <c r="B160" t="s">
        <v>509</v>
      </c>
      <c r="C160" t="s">
        <v>54</v>
      </c>
      <c r="D160" t="s">
        <v>33</v>
      </c>
      <c r="E160" t="s">
        <v>50</v>
      </c>
      <c r="F160" t="s">
        <v>510</v>
      </c>
      <c r="G160" t="str">
        <f>TEXT(Table1_1[[#This Row],[Joining_Date]],"mmm")</f>
        <v>Apr</v>
      </c>
      <c r="H160" t="str">
        <f>TEXT(Table1_1[[#This Row],[Joining_Date]],"yyyy")</f>
        <v>2020</v>
      </c>
      <c r="I160" s="1"/>
      <c r="J160" t="s">
        <v>29</v>
      </c>
      <c r="K160">
        <f>IF(Table1_1[[#This Row],[Status]]="Exited",1,0)</f>
        <v>0</v>
      </c>
      <c r="L160">
        <f>IF(Table1_1[[#This Row],[Status]]="Exited",0,1)</f>
        <v>1</v>
      </c>
      <c r="M160">
        <v>577492</v>
      </c>
      <c r="N160">
        <v>2.2999999999999998</v>
      </c>
      <c r="O160" t="s">
        <v>42</v>
      </c>
      <c r="P160">
        <v>86.5</v>
      </c>
      <c r="Q160" t="str">
        <f t="shared" si="2"/>
        <v>Low</v>
      </c>
      <c r="X160">
        <v>96.1</v>
      </c>
    </row>
    <row r="161" spans="1:24" x14ac:dyDescent="0.3">
      <c r="A161" t="s">
        <v>511</v>
      </c>
      <c r="B161" t="s">
        <v>512</v>
      </c>
      <c r="C161" t="s">
        <v>61</v>
      </c>
      <c r="D161" t="s">
        <v>49</v>
      </c>
      <c r="E161" t="s">
        <v>50</v>
      </c>
      <c r="F161" t="s">
        <v>513</v>
      </c>
      <c r="G161" t="str">
        <f>TEXT(Table1_1[[#This Row],[Joining_Date]],"mmm")</f>
        <v>Nov</v>
      </c>
      <c r="H161" t="str">
        <f>TEXT(Table1_1[[#This Row],[Joining_Date]],"yyyy")</f>
        <v>2022</v>
      </c>
      <c r="I161" s="1"/>
      <c r="J161" t="s">
        <v>29</v>
      </c>
      <c r="K161">
        <f>IF(Table1_1[[#This Row],[Status]]="Exited",1,0)</f>
        <v>0</v>
      </c>
      <c r="L161">
        <f>IF(Table1_1[[#This Row],[Status]]="Exited",0,1)</f>
        <v>1</v>
      </c>
      <c r="M161">
        <v>293732</v>
      </c>
      <c r="N161">
        <v>2.8</v>
      </c>
      <c r="O161" t="s">
        <v>24</v>
      </c>
      <c r="P161">
        <v>93</v>
      </c>
      <c r="Q161" t="str">
        <f t="shared" si="2"/>
        <v>Low</v>
      </c>
      <c r="X161">
        <v>95.1</v>
      </c>
    </row>
    <row r="162" spans="1:24" x14ac:dyDescent="0.3">
      <c r="A162" t="s">
        <v>514</v>
      </c>
      <c r="B162" t="s">
        <v>515</v>
      </c>
      <c r="C162" t="s">
        <v>54</v>
      </c>
      <c r="D162" t="s">
        <v>10</v>
      </c>
      <c r="E162" t="s">
        <v>27</v>
      </c>
      <c r="F162" t="s">
        <v>348</v>
      </c>
      <c r="G162" t="str">
        <f>TEXT(Table1_1[[#This Row],[Joining_Date]],"mmm")</f>
        <v>Sep</v>
      </c>
      <c r="H162" t="str">
        <f>TEXT(Table1_1[[#This Row],[Joining_Date]],"yyyy")</f>
        <v>2023</v>
      </c>
      <c r="I162" s="1">
        <v>46054</v>
      </c>
      <c r="J162" t="s">
        <v>18</v>
      </c>
      <c r="K162">
        <f>IF(Table1_1[[#This Row],[Status]]="Exited",1,0)</f>
        <v>1</v>
      </c>
      <c r="L162">
        <f>IF(Table1_1[[#This Row],[Status]]="Exited",0,1)</f>
        <v>0</v>
      </c>
      <c r="M162">
        <v>738767</v>
      </c>
      <c r="N162">
        <v>4.5</v>
      </c>
      <c r="O162" t="s">
        <v>24</v>
      </c>
      <c r="P162">
        <v>89.3</v>
      </c>
      <c r="Q162" t="str">
        <f t="shared" si="2"/>
        <v>High</v>
      </c>
      <c r="X162">
        <v>82.9</v>
      </c>
    </row>
    <row r="163" spans="1:24" x14ac:dyDescent="0.3">
      <c r="A163" t="s">
        <v>516</v>
      </c>
      <c r="B163" t="s">
        <v>517</v>
      </c>
      <c r="C163" t="s">
        <v>14</v>
      </c>
      <c r="D163" t="s">
        <v>49</v>
      </c>
      <c r="E163" t="s">
        <v>16</v>
      </c>
      <c r="F163" t="s">
        <v>518</v>
      </c>
      <c r="G163" t="str">
        <f>TEXT(Table1_1[[#This Row],[Joining_Date]],"mmm")</f>
        <v>Sep</v>
      </c>
      <c r="H163" t="str">
        <f>TEXT(Table1_1[[#This Row],[Joining_Date]],"yyyy")</f>
        <v>2021</v>
      </c>
      <c r="I163" s="1"/>
      <c r="J163" t="s">
        <v>29</v>
      </c>
      <c r="K163">
        <f>IF(Table1_1[[#This Row],[Status]]="Exited",1,0)</f>
        <v>0</v>
      </c>
      <c r="L163">
        <f>IF(Table1_1[[#This Row],[Status]]="Exited",0,1)</f>
        <v>1</v>
      </c>
      <c r="M163">
        <v>891132</v>
      </c>
      <c r="N163">
        <v>3.5</v>
      </c>
      <c r="O163" t="s">
        <v>30</v>
      </c>
      <c r="P163">
        <v>76.900000000000006</v>
      </c>
      <c r="Q163" t="str">
        <f t="shared" si="2"/>
        <v>Low</v>
      </c>
      <c r="X163">
        <v>84.5</v>
      </c>
    </row>
    <row r="164" spans="1:24" x14ac:dyDescent="0.3">
      <c r="A164" t="s">
        <v>519</v>
      </c>
      <c r="B164" t="s">
        <v>520</v>
      </c>
      <c r="C164" t="s">
        <v>54</v>
      </c>
      <c r="D164" t="s">
        <v>15</v>
      </c>
      <c r="E164" t="s">
        <v>50</v>
      </c>
      <c r="F164" t="s">
        <v>521</v>
      </c>
      <c r="G164" t="str">
        <f>TEXT(Table1_1[[#This Row],[Joining_Date]],"mmm")</f>
        <v>Jan</v>
      </c>
      <c r="H164" t="str">
        <f>TEXT(Table1_1[[#This Row],[Joining_Date]],"yyyy")</f>
        <v>2019</v>
      </c>
      <c r="I164" s="1"/>
      <c r="J164" t="s">
        <v>29</v>
      </c>
      <c r="K164">
        <f>IF(Table1_1[[#This Row],[Status]]="Exited",1,0)</f>
        <v>0</v>
      </c>
      <c r="L164">
        <f>IF(Table1_1[[#This Row],[Status]]="Exited",0,1)</f>
        <v>1</v>
      </c>
      <c r="M164">
        <v>955154</v>
      </c>
      <c r="N164">
        <v>3.1</v>
      </c>
      <c r="O164" t="s">
        <v>24</v>
      </c>
      <c r="P164">
        <v>83.2</v>
      </c>
      <c r="Q164" t="str">
        <f t="shared" si="2"/>
        <v>Low</v>
      </c>
      <c r="X164">
        <v>86.2</v>
      </c>
    </row>
    <row r="165" spans="1:24" x14ac:dyDescent="0.3">
      <c r="A165" t="s">
        <v>522</v>
      </c>
      <c r="B165" t="s">
        <v>523</v>
      </c>
      <c r="C165" t="s">
        <v>22</v>
      </c>
      <c r="D165" t="s">
        <v>15</v>
      </c>
      <c r="E165" t="s">
        <v>45</v>
      </c>
      <c r="F165" t="s">
        <v>524</v>
      </c>
      <c r="G165" t="str">
        <f>TEXT(Table1_1[[#This Row],[Joining_Date]],"mmm")</f>
        <v>Nov</v>
      </c>
      <c r="H165" t="str">
        <f>TEXT(Table1_1[[#This Row],[Joining_Date]],"yyyy")</f>
        <v>2018</v>
      </c>
      <c r="I165" s="1">
        <v>44074</v>
      </c>
      <c r="J165" t="s">
        <v>18</v>
      </c>
      <c r="K165">
        <f>IF(Table1_1[[#This Row],[Status]]="Exited",1,0)</f>
        <v>1</v>
      </c>
      <c r="L165">
        <f>IF(Table1_1[[#This Row],[Status]]="Exited",0,1)</f>
        <v>0</v>
      </c>
      <c r="M165">
        <v>754040</v>
      </c>
      <c r="N165">
        <v>3.1</v>
      </c>
      <c r="O165" t="s">
        <v>30</v>
      </c>
      <c r="P165">
        <v>79.8</v>
      </c>
      <c r="Q165" t="str">
        <f t="shared" si="2"/>
        <v>Low</v>
      </c>
      <c r="X165">
        <v>82.5</v>
      </c>
    </row>
    <row r="166" spans="1:24" x14ac:dyDescent="0.3">
      <c r="A166" t="s">
        <v>525</v>
      </c>
      <c r="B166" t="s">
        <v>526</v>
      </c>
      <c r="C166" t="s">
        <v>37</v>
      </c>
      <c r="D166" t="s">
        <v>49</v>
      </c>
      <c r="E166" t="s">
        <v>16</v>
      </c>
      <c r="F166" t="s">
        <v>527</v>
      </c>
      <c r="G166" t="str">
        <f>TEXT(Table1_1[[#This Row],[Joining_Date]],"mmm")</f>
        <v>Jun</v>
      </c>
      <c r="H166" t="str">
        <f>TEXT(Table1_1[[#This Row],[Joining_Date]],"yyyy")</f>
        <v>2023</v>
      </c>
      <c r="I166" s="1">
        <v>46065</v>
      </c>
      <c r="J166" t="s">
        <v>18</v>
      </c>
      <c r="K166">
        <f>IF(Table1_1[[#This Row],[Status]]="Exited",1,0)</f>
        <v>1</v>
      </c>
      <c r="L166">
        <f>IF(Table1_1[[#This Row],[Status]]="Exited",0,1)</f>
        <v>0</v>
      </c>
      <c r="M166">
        <v>447729</v>
      </c>
      <c r="N166">
        <v>4.9000000000000004</v>
      </c>
      <c r="O166" t="s">
        <v>30</v>
      </c>
      <c r="P166">
        <v>76.900000000000006</v>
      </c>
      <c r="Q166" t="str">
        <f t="shared" si="2"/>
        <v>High</v>
      </c>
      <c r="X166">
        <v>96.4</v>
      </c>
    </row>
    <row r="167" spans="1:24" x14ac:dyDescent="0.3">
      <c r="A167" t="s">
        <v>528</v>
      </c>
      <c r="B167" t="s">
        <v>529</v>
      </c>
      <c r="C167" t="s">
        <v>14</v>
      </c>
      <c r="D167" t="s">
        <v>15</v>
      </c>
      <c r="E167" t="s">
        <v>16</v>
      </c>
      <c r="F167" t="s">
        <v>530</v>
      </c>
      <c r="G167" t="str">
        <f>TEXT(Table1_1[[#This Row],[Joining_Date]],"mmm")</f>
        <v>Mar</v>
      </c>
      <c r="H167" t="str">
        <f>TEXT(Table1_1[[#This Row],[Joining_Date]],"yyyy")</f>
        <v>2023</v>
      </c>
      <c r="I167" s="1">
        <v>45396</v>
      </c>
      <c r="J167" t="s">
        <v>18</v>
      </c>
      <c r="K167">
        <f>IF(Table1_1[[#This Row],[Status]]="Exited",1,0)</f>
        <v>1</v>
      </c>
      <c r="L167">
        <f>IF(Table1_1[[#This Row],[Status]]="Exited",0,1)</f>
        <v>0</v>
      </c>
      <c r="M167">
        <v>502095</v>
      </c>
      <c r="N167">
        <v>2.7</v>
      </c>
      <c r="O167" t="s">
        <v>19</v>
      </c>
      <c r="P167">
        <v>82.2</v>
      </c>
      <c r="Q167" t="str">
        <f t="shared" si="2"/>
        <v>Low</v>
      </c>
      <c r="X167">
        <v>83.4</v>
      </c>
    </row>
    <row r="168" spans="1:24" x14ac:dyDescent="0.3">
      <c r="A168" t="s">
        <v>531</v>
      </c>
      <c r="B168" t="s">
        <v>532</v>
      </c>
      <c r="C168" t="s">
        <v>54</v>
      </c>
      <c r="D168" t="s">
        <v>10</v>
      </c>
      <c r="E168" t="s">
        <v>16</v>
      </c>
      <c r="F168" t="s">
        <v>533</v>
      </c>
      <c r="G168" t="str">
        <f>TEXT(Table1_1[[#This Row],[Joining_Date]],"mmm")</f>
        <v>Apr</v>
      </c>
      <c r="H168" t="str">
        <f>TEXT(Table1_1[[#This Row],[Joining_Date]],"yyyy")</f>
        <v>2018</v>
      </c>
      <c r="I168" s="1"/>
      <c r="J168" t="s">
        <v>29</v>
      </c>
      <c r="K168">
        <f>IF(Table1_1[[#This Row],[Status]]="Exited",1,0)</f>
        <v>0</v>
      </c>
      <c r="L168">
        <f>IF(Table1_1[[#This Row],[Status]]="Exited",0,1)</f>
        <v>1</v>
      </c>
      <c r="M168">
        <v>1117022</v>
      </c>
      <c r="N168">
        <v>3.6</v>
      </c>
      <c r="O168" t="s">
        <v>24</v>
      </c>
      <c r="P168">
        <v>93.5</v>
      </c>
      <c r="Q168" t="str">
        <f t="shared" si="2"/>
        <v>Low</v>
      </c>
      <c r="X168">
        <v>76.5</v>
      </c>
    </row>
    <row r="169" spans="1:24" x14ac:dyDescent="0.3">
      <c r="A169" t="s">
        <v>534</v>
      </c>
      <c r="B169" t="s">
        <v>535</v>
      </c>
      <c r="C169" t="s">
        <v>22</v>
      </c>
      <c r="D169" t="s">
        <v>33</v>
      </c>
      <c r="E169" t="s">
        <v>45</v>
      </c>
      <c r="F169" t="s">
        <v>536</v>
      </c>
      <c r="G169" t="str">
        <f>TEXT(Table1_1[[#This Row],[Joining_Date]],"mmm")</f>
        <v>Oct</v>
      </c>
      <c r="H169" t="str">
        <f>TEXT(Table1_1[[#This Row],[Joining_Date]],"yyyy")</f>
        <v>2023</v>
      </c>
      <c r="I169" s="1">
        <v>45985</v>
      </c>
      <c r="J169" t="s">
        <v>18</v>
      </c>
      <c r="K169">
        <f>IF(Table1_1[[#This Row],[Status]]="Exited",1,0)</f>
        <v>1</v>
      </c>
      <c r="L169">
        <f>IF(Table1_1[[#This Row],[Status]]="Exited",0,1)</f>
        <v>0</v>
      </c>
      <c r="M169">
        <v>1107383</v>
      </c>
      <c r="N169">
        <v>4</v>
      </c>
      <c r="O169" t="s">
        <v>30</v>
      </c>
      <c r="P169">
        <v>82</v>
      </c>
      <c r="Q169" t="str">
        <f t="shared" si="2"/>
        <v>Low</v>
      </c>
      <c r="X169">
        <v>92.1</v>
      </c>
    </row>
    <row r="170" spans="1:24" x14ac:dyDescent="0.3">
      <c r="A170" t="s">
        <v>537</v>
      </c>
      <c r="B170" t="s">
        <v>538</v>
      </c>
      <c r="C170" t="s">
        <v>14</v>
      </c>
      <c r="D170" t="s">
        <v>33</v>
      </c>
      <c r="E170" t="s">
        <v>50</v>
      </c>
      <c r="F170" t="s">
        <v>539</v>
      </c>
      <c r="G170" t="str">
        <f>TEXT(Table1_1[[#This Row],[Joining_Date]],"mmm")</f>
        <v>Feb</v>
      </c>
      <c r="H170" t="str">
        <f>TEXT(Table1_1[[#This Row],[Joining_Date]],"yyyy")</f>
        <v>2020</v>
      </c>
      <c r="I170" s="1"/>
      <c r="J170" t="s">
        <v>29</v>
      </c>
      <c r="K170">
        <f>IF(Table1_1[[#This Row],[Status]]="Exited",1,0)</f>
        <v>0</v>
      </c>
      <c r="L170">
        <f>IF(Table1_1[[#This Row],[Status]]="Exited",0,1)</f>
        <v>1</v>
      </c>
      <c r="M170">
        <v>513076</v>
      </c>
      <c r="N170">
        <v>3.2</v>
      </c>
      <c r="O170" t="s">
        <v>42</v>
      </c>
      <c r="P170">
        <v>93.1</v>
      </c>
      <c r="Q170" t="str">
        <f t="shared" si="2"/>
        <v>Low</v>
      </c>
      <c r="X170">
        <v>84.1</v>
      </c>
    </row>
    <row r="171" spans="1:24" x14ac:dyDescent="0.3">
      <c r="A171" t="s">
        <v>540</v>
      </c>
      <c r="B171" t="s">
        <v>541</v>
      </c>
      <c r="C171" t="s">
        <v>37</v>
      </c>
      <c r="D171" t="s">
        <v>49</v>
      </c>
      <c r="E171" t="s">
        <v>50</v>
      </c>
      <c r="F171" t="s">
        <v>542</v>
      </c>
      <c r="G171" t="str">
        <f>TEXT(Table1_1[[#This Row],[Joining_Date]],"mmm")</f>
        <v>Sep</v>
      </c>
      <c r="H171" t="str">
        <f>TEXT(Table1_1[[#This Row],[Joining_Date]],"yyyy")</f>
        <v>2022</v>
      </c>
      <c r="I171" s="1"/>
      <c r="J171" t="s">
        <v>29</v>
      </c>
      <c r="K171">
        <f>IF(Table1_1[[#This Row],[Status]]="Exited",1,0)</f>
        <v>0</v>
      </c>
      <c r="L171">
        <f>IF(Table1_1[[#This Row],[Status]]="Exited",0,1)</f>
        <v>1</v>
      </c>
      <c r="M171">
        <v>628741</v>
      </c>
      <c r="N171">
        <v>2.6</v>
      </c>
      <c r="O171" t="s">
        <v>30</v>
      </c>
      <c r="P171">
        <v>93.9</v>
      </c>
      <c r="Q171" t="str">
        <f t="shared" si="2"/>
        <v>Low</v>
      </c>
      <c r="X171">
        <v>95.2</v>
      </c>
    </row>
    <row r="172" spans="1:24" x14ac:dyDescent="0.3">
      <c r="A172" t="s">
        <v>543</v>
      </c>
      <c r="B172" t="s">
        <v>544</v>
      </c>
      <c r="C172" t="s">
        <v>14</v>
      </c>
      <c r="D172" t="s">
        <v>15</v>
      </c>
      <c r="E172" t="s">
        <v>16</v>
      </c>
      <c r="F172" t="s">
        <v>545</v>
      </c>
      <c r="G172" t="str">
        <f>TEXT(Table1_1[[#This Row],[Joining_Date]],"mmm")</f>
        <v>Dec</v>
      </c>
      <c r="H172" t="str">
        <f>TEXT(Table1_1[[#This Row],[Joining_Date]],"yyyy")</f>
        <v>2022</v>
      </c>
      <c r="I172" s="1">
        <v>45851</v>
      </c>
      <c r="J172" t="s">
        <v>18</v>
      </c>
      <c r="K172">
        <f>IF(Table1_1[[#This Row],[Status]]="Exited",1,0)</f>
        <v>1</v>
      </c>
      <c r="L172">
        <f>IF(Table1_1[[#This Row],[Status]]="Exited",0,1)</f>
        <v>0</v>
      </c>
      <c r="M172">
        <v>1058318</v>
      </c>
      <c r="N172">
        <v>2.1</v>
      </c>
      <c r="O172" t="s">
        <v>42</v>
      </c>
      <c r="P172">
        <v>96.5</v>
      </c>
      <c r="Q172" t="str">
        <f t="shared" si="2"/>
        <v>Low</v>
      </c>
      <c r="X172">
        <v>76.2</v>
      </c>
    </row>
    <row r="173" spans="1:24" x14ac:dyDescent="0.3">
      <c r="A173" t="s">
        <v>546</v>
      </c>
      <c r="B173" t="s">
        <v>547</v>
      </c>
      <c r="C173" t="s">
        <v>22</v>
      </c>
      <c r="D173" t="s">
        <v>49</v>
      </c>
      <c r="E173" t="s">
        <v>45</v>
      </c>
      <c r="F173" t="s">
        <v>548</v>
      </c>
      <c r="G173" t="str">
        <f>TEXT(Table1_1[[#This Row],[Joining_Date]],"mmm")</f>
        <v>Jul</v>
      </c>
      <c r="H173" t="str">
        <f>TEXT(Table1_1[[#This Row],[Joining_Date]],"yyyy")</f>
        <v>2024</v>
      </c>
      <c r="I173" s="1"/>
      <c r="J173" t="s">
        <v>29</v>
      </c>
      <c r="K173">
        <f>IF(Table1_1[[#This Row],[Status]]="Exited",1,0)</f>
        <v>0</v>
      </c>
      <c r="L173">
        <f>IF(Table1_1[[#This Row],[Status]]="Exited",0,1)</f>
        <v>1</v>
      </c>
      <c r="M173">
        <v>944405</v>
      </c>
      <c r="N173">
        <v>4.3</v>
      </c>
      <c r="O173" t="s">
        <v>19</v>
      </c>
      <c r="P173">
        <v>79.900000000000006</v>
      </c>
      <c r="Q173" t="str">
        <f t="shared" si="2"/>
        <v>High</v>
      </c>
      <c r="X173">
        <v>84.4</v>
      </c>
    </row>
    <row r="174" spans="1:24" x14ac:dyDescent="0.3">
      <c r="A174" t="s">
        <v>549</v>
      </c>
      <c r="B174" t="s">
        <v>550</v>
      </c>
      <c r="C174" t="s">
        <v>61</v>
      </c>
      <c r="D174" t="s">
        <v>49</v>
      </c>
      <c r="E174" t="s">
        <v>50</v>
      </c>
      <c r="F174" t="s">
        <v>551</v>
      </c>
      <c r="G174" t="str">
        <f>TEXT(Table1_1[[#This Row],[Joining_Date]],"mmm")</f>
        <v>Dec</v>
      </c>
      <c r="H174" t="str">
        <f>TEXT(Table1_1[[#This Row],[Joining_Date]],"yyyy")</f>
        <v>2020</v>
      </c>
      <c r="I174" s="1"/>
      <c r="J174" t="s">
        <v>29</v>
      </c>
      <c r="K174">
        <f>IF(Table1_1[[#This Row],[Status]]="Exited",1,0)</f>
        <v>0</v>
      </c>
      <c r="L174">
        <f>IF(Table1_1[[#This Row],[Status]]="Exited",0,1)</f>
        <v>1</v>
      </c>
      <c r="M174">
        <v>949886</v>
      </c>
      <c r="N174">
        <v>5</v>
      </c>
      <c r="O174" t="s">
        <v>24</v>
      </c>
      <c r="P174">
        <v>83.5</v>
      </c>
      <c r="Q174" t="str">
        <f t="shared" si="2"/>
        <v>High</v>
      </c>
      <c r="X174">
        <v>85.7</v>
      </c>
    </row>
    <row r="175" spans="1:24" x14ac:dyDescent="0.3">
      <c r="A175" t="s">
        <v>552</v>
      </c>
      <c r="B175" t="s">
        <v>553</v>
      </c>
      <c r="C175" t="s">
        <v>37</v>
      </c>
      <c r="D175" t="s">
        <v>33</v>
      </c>
      <c r="E175" t="s">
        <v>50</v>
      </c>
      <c r="F175" t="s">
        <v>554</v>
      </c>
      <c r="G175" t="str">
        <f>TEXT(Table1_1[[#This Row],[Joining_Date]],"mmm")</f>
        <v>May</v>
      </c>
      <c r="H175" t="str">
        <f>TEXT(Table1_1[[#This Row],[Joining_Date]],"yyyy")</f>
        <v>2018</v>
      </c>
      <c r="I175" s="1">
        <v>43490</v>
      </c>
      <c r="J175" t="s">
        <v>18</v>
      </c>
      <c r="K175">
        <f>IF(Table1_1[[#This Row],[Status]]="Exited",1,0)</f>
        <v>1</v>
      </c>
      <c r="L175">
        <f>IF(Table1_1[[#This Row],[Status]]="Exited",0,1)</f>
        <v>0</v>
      </c>
      <c r="M175">
        <v>1005364</v>
      </c>
      <c r="N175">
        <v>4.0999999999999996</v>
      </c>
      <c r="O175" t="s">
        <v>42</v>
      </c>
      <c r="P175">
        <v>75.7</v>
      </c>
      <c r="Q175" t="str">
        <f t="shared" si="2"/>
        <v>High</v>
      </c>
      <c r="X175">
        <v>98.6</v>
      </c>
    </row>
    <row r="176" spans="1:24" x14ac:dyDescent="0.3">
      <c r="A176" t="s">
        <v>555</v>
      </c>
      <c r="B176" t="s">
        <v>556</v>
      </c>
      <c r="C176" t="s">
        <v>54</v>
      </c>
      <c r="D176" t="s">
        <v>15</v>
      </c>
      <c r="E176" t="s">
        <v>27</v>
      </c>
      <c r="F176" t="s">
        <v>159</v>
      </c>
      <c r="G176" t="str">
        <f>TEXT(Table1_1[[#This Row],[Joining_Date]],"mmm")</f>
        <v>Apr</v>
      </c>
      <c r="H176" t="str">
        <f>TEXT(Table1_1[[#This Row],[Joining_Date]],"yyyy")</f>
        <v>2024</v>
      </c>
      <c r="I176" s="1"/>
      <c r="J176" t="s">
        <v>29</v>
      </c>
      <c r="K176">
        <f>IF(Table1_1[[#This Row],[Status]]="Exited",1,0)</f>
        <v>0</v>
      </c>
      <c r="L176">
        <f>IF(Table1_1[[#This Row],[Status]]="Exited",0,1)</f>
        <v>1</v>
      </c>
      <c r="M176">
        <v>535789</v>
      </c>
      <c r="N176">
        <v>3.8</v>
      </c>
      <c r="O176" t="s">
        <v>24</v>
      </c>
      <c r="P176">
        <v>87.1</v>
      </c>
      <c r="Q176" t="str">
        <f t="shared" si="2"/>
        <v>Low</v>
      </c>
      <c r="X176">
        <v>93.4</v>
      </c>
    </row>
    <row r="177" spans="1:24" x14ac:dyDescent="0.3">
      <c r="A177" t="s">
        <v>557</v>
      </c>
      <c r="B177" t="s">
        <v>558</v>
      </c>
      <c r="C177" t="s">
        <v>14</v>
      </c>
      <c r="D177" t="s">
        <v>10</v>
      </c>
      <c r="E177" t="s">
        <v>50</v>
      </c>
      <c r="F177" t="s">
        <v>559</v>
      </c>
      <c r="G177" t="str">
        <f>TEXT(Table1_1[[#This Row],[Joining_Date]],"mmm")</f>
        <v>Jun</v>
      </c>
      <c r="H177" t="str">
        <f>TEXT(Table1_1[[#This Row],[Joining_Date]],"yyyy")</f>
        <v>2020</v>
      </c>
      <c r="I177" s="1">
        <v>45191</v>
      </c>
      <c r="J177" t="s">
        <v>18</v>
      </c>
      <c r="K177">
        <f>IF(Table1_1[[#This Row],[Status]]="Exited",1,0)</f>
        <v>1</v>
      </c>
      <c r="L177">
        <f>IF(Table1_1[[#This Row],[Status]]="Exited",0,1)</f>
        <v>0</v>
      </c>
      <c r="M177">
        <v>323924</v>
      </c>
      <c r="N177">
        <v>2.9</v>
      </c>
      <c r="O177" t="s">
        <v>30</v>
      </c>
      <c r="P177">
        <v>77.8</v>
      </c>
      <c r="Q177" t="str">
        <f t="shared" si="2"/>
        <v>Low</v>
      </c>
      <c r="X177">
        <v>88.5</v>
      </c>
    </row>
    <row r="178" spans="1:24" x14ac:dyDescent="0.3">
      <c r="A178" t="s">
        <v>561</v>
      </c>
      <c r="B178" t="s">
        <v>562</v>
      </c>
      <c r="C178" t="s">
        <v>14</v>
      </c>
      <c r="D178" t="s">
        <v>49</v>
      </c>
      <c r="E178" t="s">
        <v>45</v>
      </c>
      <c r="F178" t="s">
        <v>563</v>
      </c>
      <c r="G178" t="str">
        <f>TEXT(Table1_1[[#This Row],[Joining_Date]],"mmm")</f>
        <v>Dec</v>
      </c>
      <c r="H178" t="str">
        <f>TEXT(Table1_1[[#This Row],[Joining_Date]],"yyyy")</f>
        <v>2019</v>
      </c>
      <c r="I178" s="1">
        <v>44942</v>
      </c>
      <c r="J178" t="s">
        <v>18</v>
      </c>
      <c r="K178">
        <f>IF(Table1_1[[#This Row],[Status]]="Exited",1,0)</f>
        <v>1</v>
      </c>
      <c r="L178">
        <f>IF(Table1_1[[#This Row],[Status]]="Exited",0,1)</f>
        <v>0</v>
      </c>
      <c r="M178">
        <v>617076</v>
      </c>
      <c r="N178">
        <v>3.2</v>
      </c>
      <c r="O178" t="s">
        <v>19</v>
      </c>
      <c r="P178">
        <v>83.7</v>
      </c>
      <c r="Q178" t="str">
        <f t="shared" si="2"/>
        <v>Low</v>
      </c>
      <c r="X178">
        <v>94.8</v>
      </c>
    </row>
    <row r="179" spans="1:24" x14ac:dyDescent="0.3">
      <c r="A179" t="s">
        <v>565</v>
      </c>
      <c r="B179" t="s">
        <v>566</v>
      </c>
      <c r="C179" t="s">
        <v>22</v>
      </c>
      <c r="D179" t="s">
        <v>10</v>
      </c>
      <c r="E179" t="s">
        <v>50</v>
      </c>
      <c r="F179" t="s">
        <v>567</v>
      </c>
      <c r="G179" t="str">
        <f>TEXT(Table1_1[[#This Row],[Joining_Date]],"mmm")</f>
        <v>Jan</v>
      </c>
      <c r="H179" t="str">
        <f>TEXT(Table1_1[[#This Row],[Joining_Date]],"yyyy")</f>
        <v>2022</v>
      </c>
      <c r="I179" s="1"/>
      <c r="J179" t="s">
        <v>29</v>
      </c>
      <c r="K179">
        <f>IF(Table1_1[[#This Row],[Status]]="Exited",1,0)</f>
        <v>0</v>
      </c>
      <c r="L179">
        <f>IF(Table1_1[[#This Row],[Status]]="Exited",0,1)</f>
        <v>1</v>
      </c>
      <c r="M179">
        <v>810855</v>
      </c>
      <c r="N179">
        <v>2.8</v>
      </c>
      <c r="O179" t="s">
        <v>42</v>
      </c>
      <c r="P179">
        <v>80</v>
      </c>
      <c r="Q179" t="str">
        <f t="shared" si="2"/>
        <v>Low</v>
      </c>
      <c r="X179">
        <v>97</v>
      </c>
    </row>
    <row r="180" spans="1:24" x14ac:dyDescent="0.3">
      <c r="A180" t="s">
        <v>568</v>
      </c>
      <c r="B180" t="s">
        <v>569</v>
      </c>
      <c r="C180" t="s">
        <v>37</v>
      </c>
      <c r="D180" t="s">
        <v>15</v>
      </c>
      <c r="E180" t="s">
        <v>50</v>
      </c>
      <c r="F180" t="s">
        <v>570</v>
      </c>
      <c r="G180" t="str">
        <f>TEXT(Table1_1[[#This Row],[Joining_Date]],"mmm")</f>
        <v>Mar</v>
      </c>
      <c r="H180" t="str">
        <f>TEXT(Table1_1[[#This Row],[Joining_Date]],"yyyy")</f>
        <v>2020</v>
      </c>
      <c r="I180" s="1">
        <v>45249</v>
      </c>
      <c r="J180" t="s">
        <v>18</v>
      </c>
      <c r="K180">
        <f>IF(Table1_1[[#This Row],[Status]]="Exited",1,0)</f>
        <v>1</v>
      </c>
      <c r="L180">
        <f>IF(Table1_1[[#This Row],[Status]]="Exited",0,1)</f>
        <v>0</v>
      </c>
      <c r="M180">
        <v>273206</v>
      </c>
      <c r="N180">
        <v>3</v>
      </c>
      <c r="O180" t="s">
        <v>24</v>
      </c>
      <c r="P180">
        <v>92.7</v>
      </c>
      <c r="Q180" t="str">
        <f t="shared" si="2"/>
        <v>Low</v>
      </c>
      <c r="X180">
        <v>92.2</v>
      </c>
    </row>
    <row r="181" spans="1:24" x14ac:dyDescent="0.3">
      <c r="A181" t="s">
        <v>571</v>
      </c>
      <c r="B181" t="s">
        <v>572</v>
      </c>
      <c r="C181" t="s">
        <v>37</v>
      </c>
      <c r="D181" t="s">
        <v>10</v>
      </c>
      <c r="E181" t="s">
        <v>50</v>
      </c>
      <c r="F181" t="s">
        <v>573</v>
      </c>
      <c r="G181" t="str">
        <f>TEXT(Table1_1[[#This Row],[Joining_Date]],"mmm")</f>
        <v>Jun</v>
      </c>
      <c r="H181" t="str">
        <f>TEXT(Table1_1[[#This Row],[Joining_Date]],"yyyy")</f>
        <v>2018</v>
      </c>
      <c r="I181" s="1"/>
      <c r="J181" t="s">
        <v>29</v>
      </c>
      <c r="K181">
        <f>IF(Table1_1[[#This Row],[Status]]="Exited",1,0)</f>
        <v>0</v>
      </c>
      <c r="L181">
        <f>IF(Table1_1[[#This Row],[Status]]="Exited",0,1)</f>
        <v>1</v>
      </c>
      <c r="M181">
        <v>299281</v>
      </c>
      <c r="N181">
        <v>2.8</v>
      </c>
      <c r="O181" t="s">
        <v>19</v>
      </c>
      <c r="P181">
        <v>85.8</v>
      </c>
      <c r="Q181" t="str">
        <f t="shared" si="2"/>
        <v>Low</v>
      </c>
      <c r="X181">
        <v>86.1</v>
      </c>
    </row>
    <row r="182" spans="1:24" x14ac:dyDescent="0.3">
      <c r="A182" t="s">
        <v>574</v>
      </c>
      <c r="B182" t="s">
        <v>575</v>
      </c>
      <c r="C182" t="s">
        <v>37</v>
      </c>
      <c r="D182" t="s">
        <v>49</v>
      </c>
      <c r="E182" t="s">
        <v>27</v>
      </c>
      <c r="F182" t="s">
        <v>576</v>
      </c>
      <c r="G182" t="str">
        <f>TEXT(Table1_1[[#This Row],[Joining_Date]],"mmm")</f>
        <v>Oct</v>
      </c>
      <c r="H182" t="str">
        <f>TEXT(Table1_1[[#This Row],[Joining_Date]],"yyyy")</f>
        <v>2023</v>
      </c>
      <c r="I182" s="1">
        <v>45747</v>
      </c>
      <c r="J182" t="s">
        <v>18</v>
      </c>
      <c r="K182">
        <f>IF(Table1_1[[#This Row],[Status]]="Exited",1,0)</f>
        <v>1</v>
      </c>
      <c r="L182">
        <f>IF(Table1_1[[#This Row],[Status]]="Exited",0,1)</f>
        <v>0</v>
      </c>
      <c r="M182">
        <v>788098</v>
      </c>
      <c r="N182">
        <v>4.5999999999999996</v>
      </c>
      <c r="O182" t="s">
        <v>42</v>
      </c>
      <c r="P182">
        <v>76.8</v>
      </c>
      <c r="Q182" t="str">
        <f t="shared" si="2"/>
        <v>High</v>
      </c>
      <c r="X182">
        <v>76</v>
      </c>
    </row>
    <row r="183" spans="1:24" x14ac:dyDescent="0.3">
      <c r="A183" t="s">
        <v>577</v>
      </c>
      <c r="B183" t="s">
        <v>578</v>
      </c>
      <c r="C183" t="s">
        <v>22</v>
      </c>
      <c r="D183" t="s">
        <v>10</v>
      </c>
      <c r="E183" t="s">
        <v>16</v>
      </c>
      <c r="F183" t="s">
        <v>579</v>
      </c>
      <c r="G183" t="str">
        <f>TEXT(Table1_1[[#This Row],[Joining_Date]],"mmm")</f>
        <v>Dec</v>
      </c>
      <c r="H183" t="str">
        <f>TEXT(Table1_1[[#This Row],[Joining_Date]],"yyyy")</f>
        <v>2019</v>
      </c>
      <c r="I183" s="1">
        <v>44575</v>
      </c>
      <c r="J183" t="s">
        <v>18</v>
      </c>
      <c r="K183">
        <f>IF(Table1_1[[#This Row],[Status]]="Exited",1,0)</f>
        <v>1</v>
      </c>
      <c r="L183">
        <f>IF(Table1_1[[#This Row],[Status]]="Exited",0,1)</f>
        <v>0</v>
      </c>
      <c r="M183">
        <v>824559</v>
      </c>
      <c r="N183">
        <v>2.7</v>
      </c>
      <c r="O183" t="s">
        <v>24</v>
      </c>
      <c r="P183">
        <v>81</v>
      </c>
      <c r="Q183" t="str">
        <f t="shared" si="2"/>
        <v>Low</v>
      </c>
      <c r="X183">
        <v>85.1</v>
      </c>
    </row>
    <row r="184" spans="1:24" x14ac:dyDescent="0.3">
      <c r="A184" t="s">
        <v>580</v>
      </c>
      <c r="B184" t="s">
        <v>581</v>
      </c>
      <c r="C184" t="s">
        <v>54</v>
      </c>
      <c r="D184" t="s">
        <v>49</v>
      </c>
      <c r="E184" t="s">
        <v>45</v>
      </c>
      <c r="F184" t="s">
        <v>582</v>
      </c>
      <c r="G184" t="str">
        <f>TEXT(Table1_1[[#This Row],[Joining_Date]],"mmm")</f>
        <v>Feb</v>
      </c>
      <c r="H184" t="str">
        <f>TEXT(Table1_1[[#This Row],[Joining_Date]],"yyyy")</f>
        <v>2021</v>
      </c>
      <c r="I184" s="1">
        <v>44858</v>
      </c>
      <c r="J184" t="s">
        <v>18</v>
      </c>
      <c r="K184">
        <f>IF(Table1_1[[#This Row],[Status]]="Exited",1,0)</f>
        <v>1</v>
      </c>
      <c r="L184">
        <f>IF(Table1_1[[#This Row],[Status]]="Exited",0,1)</f>
        <v>0</v>
      </c>
      <c r="M184">
        <v>330048</v>
      </c>
      <c r="N184">
        <v>2.4</v>
      </c>
      <c r="O184" t="s">
        <v>42</v>
      </c>
      <c r="P184">
        <v>91.9</v>
      </c>
      <c r="Q184" t="str">
        <f t="shared" si="2"/>
        <v>Low</v>
      </c>
      <c r="X184">
        <v>77.900000000000006</v>
      </c>
    </row>
    <row r="185" spans="1:24" x14ac:dyDescent="0.3">
      <c r="A185" t="s">
        <v>583</v>
      </c>
      <c r="B185" t="s">
        <v>584</v>
      </c>
      <c r="C185" t="s">
        <v>61</v>
      </c>
      <c r="D185" t="s">
        <v>33</v>
      </c>
      <c r="E185" t="s">
        <v>16</v>
      </c>
      <c r="F185" t="s">
        <v>585</v>
      </c>
      <c r="G185" t="str">
        <f>TEXT(Table1_1[[#This Row],[Joining_Date]],"mmm")</f>
        <v>May</v>
      </c>
      <c r="H185" t="str">
        <f>TEXT(Table1_1[[#This Row],[Joining_Date]],"yyyy")</f>
        <v>2021</v>
      </c>
      <c r="I185" s="1">
        <v>44636</v>
      </c>
      <c r="J185" t="s">
        <v>18</v>
      </c>
      <c r="K185">
        <f>IF(Table1_1[[#This Row],[Status]]="Exited",1,0)</f>
        <v>1</v>
      </c>
      <c r="L185">
        <f>IF(Table1_1[[#This Row],[Status]]="Exited",0,1)</f>
        <v>0</v>
      </c>
      <c r="M185">
        <v>1163639</v>
      </c>
      <c r="N185">
        <v>2.6</v>
      </c>
      <c r="O185" t="s">
        <v>30</v>
      </c>
      <c r="P185">
        <v>93.7</v>
      </c>
      <c r="Q185" t="str">
        <f t="shared" si="2"/>
        <v>Low</v>
      </c>
      <c r="X185">
        <v>98.1</v>
      </c>
    </row>
    <row r="186" spans="1:24" x14ac:dyDescent="0.3">
      <c r="A186" t="s">
        <v>586</v>
      </c>
      <c r="B186" t="s">
        <v>587</v>
      </c>
      <c r="C186" t="s">
        <v>14</v>
      </c>
      <c r="D186" t="s">
        <v>49</v>
      </c>
      <c r="E186" t="s">
        <v>50</v>
      </c>
      <c r="F186" t="s">
        <v>588</v>
      </c>
      <c r="G186" t="str">
        <f>TEXT(Table1_1[[#This Row],[Joining_Date]],"mmm")</f>
        <v>Jun</v>
      </c>
      <c r="H186" t="str">
        <f>TEXT(Table1_1[[#This Row],[Joining_Date]],"yyyy")</f>
        <v>2023</v>
      </c>
      <c r="I186" s="1">
        <v>45589</v>
      </c>
      <c r="J186" t="s">
        <v>18</v>
      </c>
      <c r="K186">
        <f>IF(Table1_1[[#This Row],[Status]]="Exited",1,0)</f>
        <v>1</v>
      </c>
      <c r="L186">
        <f>IF(Table1_1[[#This Row],[Status]]="Exited",0,1)</f>
        <v>0</v>
      </c>
      <c r="M186">
        <v>660858</v>
      </c>
      <c r="N186">
        <v>4.2</v>
      </c>
      <c r="O186" t="s">
        <v>24</v>
      </c>
      <c r="P186">
        <v>78.400000000000006</v>
      </c>
      <c r="Q186" t="str">
        <f t="shared" si="2"/>
        <v>High</v>
      </c>
      <c r="X186">
        <v>83.3</v>
      </c>
    </row>
    <row r="187" spans="1:24" x14ac:dyDescent="0.3">
      <c r="A187" t="s">
        <v>589</v>
      </c>
      <c r="B187" t="s">
        <v>590</v>
      </c>
      <c r="C187" t="s">
        <v>37</v>
      </c>
      <c r="D187" t="s">
        <v>10</v>
      </c>
      <c r="E187" t="s">
        <v>45</v>
      </c>
      <c r="F187" t="s">
        <v>419</v>
      </c>
      <c r="G187" t="str">
        <f>TEXT(Table1_1[[#This Row],[Joining_Date]],"mmm")</f>
        <v>Dec</v>
      </c>
      <c r="H187" t="str">
        <f>TEXT(Table1_1[[#This Row],[Joining_Date]],"yyyy")</f>
        <v>2018</v>
      </c>
      <c r="I187" s="1"/>
      <c r="J187" t="s">
        <v>29</v>
      </c>
      <c r="K187">
        <f>IF(Table1_1[[#This Row],[Status]]="Exited",1,0)</f>
        <v>0</v>
      </c>
      <c r="L187">
        <f>IF(Table1_1[[#This Row],[Status]]="Exited",0,1)</f>
        <v>1</v>
      </c>
      <c r="M187">
        <v>418228</v>
      </c>
      <c r="N187">
        <v>2.5</v>
      </c>
      <c r="O187" t="s">
        <v>30</v>
      </c>
      <c r="P187">
        <v>75.2</v>
      </c>
      <c r="Q187" t="str">
        <f t="shared" si="2"/>
        <v>Low</v>
      </c>
      <c r="X187">
        <v>99.4</v>
      </c>
    </row>
    <row r="188" spans="1:24" x14ac:dyDescent="0.3">
      <c r="A188" t="s">
        <v>591</v>
      </c>
      <c r="B188" t="s">
        <v>592</v>
      </c>
      <c r="C188" t="s">
        <v>37</v>
      </c>
      <c r="D188" t="s">
        <v>15</v>
      </c>
      <c r="E188" t="s">
        <v>50</v>
      </c>
      <c r="F188" t="s">
        <v>593</v>
      </c>
      <c r="G188" t="str">
        <f>TEXT(Table1_1[[#This Row],[Joining_Date]],"mmm")</f>
        <v>Jan</v>
      </c>
      <c r="H188" t="str">
        <f>TEXT(Table1_1[[#This Row],[Joining_Date]],"yyyy")</f>
        <v>2024</v>
      </c>
      <c r="I188" s="1"/>
      <c r="J188" t="s">
        <v>29</v>
      </c>
      <c r="K188">
        <f>IF(Table1_1[[#This Row],[Status]]="Exited",1,0)</f>
        <v>0</v>
      </c>
      <c r="L188">
        <f>IF(Table1_1[[#This Row],[Status]]="Exited",0,1)</f>
        <v>1</v>
      </c>
      <c r="M188">
        <v>671855</v>
      </c>
      <c r="N188">
        <v>2.9</v>
      </c>
      <c r="O188" t="s">
        <v>42</v>
      </c>
      <c r="P188">
        <v>94.4</v>
      </c>
      <c r="Q188" t="str">
        <f t="shared" si="2"/>
        <v>Low</v>
      </c>
      <c r="X188">
        <v>75.5</v>
      </c>
    </row>
    <row r="189" spans="1:24" x14ac:dyDescent="0.3">
      <c r="A189" t="s">
        <v>594</v>
      </c>
      <c r="B189" t="s">
        <v>595</v>
      </c>
      <c r="C189" t="s">
        <v>14</v>
      </c>
      <c r="D189" t="s">
        <v>15</v>
      </c>
      <c r="E189" t="s">
        <v>45</v>
      </c>
      <c r="F189" t="s">
        <v>596</v>
      </c>
      <c r="G189" t="str">
        <f>TEXT(Table1_1[[#This Row],[Joining_Date]],"mmm")</f>
        <v>Apr</v>
      </c>
      <c r="H189" t="str">
        <f>TEXT(Table1_1[[#This Row],[Joining_Date]],"yyyy")</f>
        <v>2019</v>
      </c>
      <c r="I189" s="1"/>
      <c r="J189" t="s">
        <v>29</v>
      </c>
      <c r="K189">
        <f>IF(Table1_1[[#This Row],[Status]]="Exited",1,0)</f>
        <v>0</v>
      </c>
      <c r="L189">
        <f>IF(Table1_1[[#This Row],[Status]]="Exited",0,1)</f>
        <v>1</v>
      </c>
      <c r="M189">
        <v>970326</v>
      </c>
      <c r="N189">
        <v>4.8</v>
      </c>
      <c r="O189" t="s">
        <v>24</v>
      </c>
      <c r="P189">
        <v>88.4</v>
      </c>
      <c r="Q189" t="str">
        <f t="shared" si="2"/>
        <v>High</v>
      </c>
      <c r="X189">
        <v>95.7</v>
      </c>
    </row>
    <row r="190" spans="1:24" x14ac:dyDescent="0.3">
      <c r="A190" t="s">
        <v>597</v>
      </c>
      <c r="B190" t="s">
        <v>598</v>
      </c>
      <c r="C190" t="s">
        <v>61</v>
      </c>
      <c r="D190" t="s">
        <v>33</v>
      </c>
      <c r="E190" t="s">
        <v>27</v>
      </c>
      <c r="F190" t="s">
        <v>599</v>
      </c>
      <c r="G190" t="str">
        <f>TEXT(Table1_1[[#This Row],[Joining_Date]],"mmm")</f>
        <v>Apr</v>
      </c>
      <c r="H190" t="str">
        <f>TEXT(Table1_1[[#This Row],[Joining_Date]],"yyyy")</f>
        <v>2024</v>
      </c>
      <c r="I190" s="1">
        <v>46725</v>
      </c>
      <c r="J190" t="s">
        <v>18</v>
      </c>
      <c r="K190">
        <f>IF(Table1_1[[#This Row],[Status]]="Exited",1,0)</f>
        <v>1</v>
      </c>
      <c r="L190">
        <f>IF(Table1_1[[#This Row],[Status]]="Exited",0,1)</f>
        <v>0</v>
      </c>
      <c r="M190">
        <v>931272</v>
      </c>
      <c r="N190">
        <v>3.9</v>
      </c>
      <c r="O190" t="s">
        <v>19</v>
      </c>
      <c r="P190">
        <v>85.3</v>
      </c>
      <c r="Q190" t="str">
        <f t="shared" si="2"/>
        <v>Low</v>
      </c>
      <c r="X190">
        <v>75.599999999999994</v>
      </c>
    </row>
    <row r="191" spans="1:24" x14ac:dyDescent="0.3">
      <c r="A191" t="s">
        <v>600</v>
      </c>
      <c r="B191" t="s">
        <v>601</v>
      </c>
      <c r="C191" t="s">
        <v>61</v>
      </c>
      <c r="D191" t="s">
        <v>33</v>
      </c>
      <c r="E191" t="s">
        <v>27</v>
      </c>
      <c r="F191" t="s">
        <v>602</v>
      </c>
      <c r="G191" t="str">
        <f>TEXT(Table1_1[[#This Row],[Joining_Date]],"mmm")</f>
        <v>Nov</v>
      </c>
      <c r="H191" t="str">
        <f>TEXT(Table1_1[[#This Row],[Joining_Date]],"yyyy")</f>
        <v>2020</v>
      </c>
      <c r="I191" s="1"/>
      <c r="J191" t="s">
        <v>29</v>
      </c>
      <c r="K191">
        <f>IF(Table1_1[[#This Row],[Status]]="Exited",1,0)</f>
        <v>0</v>
      </c>
      <c r="L191">
        <f>IF(Table1_1[[#This Row],[Status]]="Exited",0,1)</f>
        <v>1</v>
      </c>
      <c r="M191">
        <v>211072</v>
      </c>
      <c r="N191">
        <v>2.2000000000000002</v>
      </c>
      <c r="O191" t="s">
        <v>24</v>
      </c>
      <c r="P191">
        <v>95.9</v>
      </c>
      <c r="Q191" t="str">
        <f t="shared" si="2"/>
        <v>Low</v>
      </c>
      <c r="X191">
        <v>87.5</v>
      </c>
    </row>
    <row r="192" spans="1:24" x14ac:dyDescent="0.3">
      <c r="A192" t="s">
        <v>603</v>
      </c>
      <c r="B192" t="s">
        <v>604</v>
      </c>
      <c r="C192" t="s">
        <v>61</v>
      </c>
      <c r="D192" t="s">
        <v>10</v>
      </c>
      <c r="E192" t="s">
        <v>50</v>
      </c>
      <c r="F192" t="s">
        <v>605</v>
      </c>
      <c r="G192" t="str">
        <f>TEXT(Table1_1[[#This Row],[Joining_Date]],"mmm")</f>
        <v>Apr</v>
      </c>
      <c r="H192" t="str">
        <f>TEXT(Table1_1[[#This Row],[Joining_Date]],"yyyy")</f>
        <v>2018</v>
      </c>
      <c r="I192" s="1"/>
      <c r="J192" t="s">
        <v>29</v>
      </c>
      <c r="K192">
        <f>IF(Table1_1[[#This Row],[Status]]="Exited",1,0)</f>
        <v>0</v>
      </c>
      <c r="L192">
        <f>IF(Table1_1[[#This Row],[Status]]="Exited",0,1)</f>
        <v>1</v>
      </c>
      <c r="M192">
        <v>958382</v>
      </c>
      <c r="N192">
        <v>3.1</v>
      </c>
      <c r="O192" t="s">
        <v>19</v>
      </c>
      <c r="P192">
        <v>92.3</v>
      </c>
      <c r="Q192" t="str">
        <f t="shared" si="2"/>
        <v>Low</v>
      </c>
      <c r="X192">
        <v>89.2</v>
      </c>
    </row>
    <row r="193" spans="1:24" x14ac:dyDescent="0.3">
      <c r="A193" t="s">
        <v>606</v>
      </c>
      <c r="B193" t="s">
        <v>607</v>
      </c>
      <c r="C193" t="s">
        <v>37</v>
      </c>
      <c r="D193" t="s">
        <v>10</v>
      </c>
      <c r="E193" t="s">
        <v>50</v>
      </c>
      <c r="F193" t="s">
        <v>608</v>
      </c>
      <c r="G193" t="str">
        <f>TEXT(Table1_1[[#This Row],[Joining_Date]],"mmm")</f>
        <v>Nov</v>
      </c>
      <c r="H193" t="str">
        <f>TEXT(Table1_1[[#This Row],[Joining_Date]],"yyyy")</f>
        <v>2019</v>
      </c>
      <c r="I193" s="1">
        <v>44531</v>
      </c>
      <c r="J193" t="s">
        <v>18</v>
      </c>
      <c r="K193">
        <f>IF(Table1_1[[#This Row],[Status]]="Exited",1,0)</f>
        <v>1</v>
      </c>
      <c r="L193">
        <f>IF(Table1_1[[#This Row],[Status]]="Exited",0,1)</f>
        <v>0</v>
      </c>
      <c r="M193">
        <v>789835</v>
      </c>
      <c r="N193">
        <v>4.5</v>
      </c>
      <c r="O193" t="s">
        <v>24</v>
      </c>
      <c r="P193">
        <v>78.2</v>
      </c>
      <c r="Q193" t="str">
        <f t="shared" si="2"/>
        <v>High</v>
      </c>
      <c r="X193">
        <v>99.5</v>
      </c>
    </row>
    <row r="194" spans="1:24" x14ac:dyDescent="0.3">
      <c r="A194" t="s">
        <v>609</v>
      </c>
      <c r="B194" t="s">
        <v>610</v>
      </c>
      <c r="C194" t="s">
        <v>14</v>
      </c>
      <c r="D194" t="s">
        <v>33</v>
      </c>
      <c r="E194" t="s">
        <v>50</v>
      </c>
      <c r="F194" t="s">
        <v>611</v>
      </c>
      <c r="G194" t="str">
        <f>TEXT(Table1_1[[#This Row],[Joining_Date]],"mmm")</f>
        <v>Dec</v>
      </c>
      <c r="H194" t="str">
        <f>TEXT(Table1_1[[#This Row],[Joining_Date]],"yyyy")</f>
        <v>2018</v>
      </c>
      <c r="I194" s="1">
        <v>44111</v>
      </c>
      <c r="J194" t="s">
        <v>18</v>
      </c>
      <c r="K194">
        <f>IF(Table1_1[[#This Row],[Status]]="Exited",1,0)</f>
        <v>1</v>
      </c>
      <c r="L194">
        <f>IF(Table1_1[[#This Row],[Status]]="Exited",0,1)</f>
        <v>0</v>
      </c>
      <c r="M194">
        <v>447355</v>
      </c>
      <c r="N194">
        <v>4.8</v>
      </c>
      <c r="O194" t="s">
        <v>30</v>
      </c>
      <c r="P194">
        <v>98.8</v>
      </c>
      <c r="Q194" t="str">
        <f t="shared" ref="Q194:Q257" si="3">IF(AND(N194&gt;4,P194&gt;=75),"High",
 IF(AND(N194&gt;2,N194&lt;=4,P194&gt;40,P194&lt;=74),"Average","Low"))</f>
        <v>High</v>
      </c>
      <c r="X194">
        <v>90.6</v>
      </c>
    </row>
    <row r="195" spans="1:24" x14ac:dyDescent="0.3">
      <c r="A195" t="s">
        <v>612</v>
      </c>
      <c r="B195" t="s">
        <v>613</v>
      </c>
      <c r="C195" t="s">
        <v>54</v>
      </c>
      <c r="D195" t="s">
        <v>10</v>
      </c>
      <c r="E195" t="s">
        <v>45</v>
      </c>
      <c r="F195" t="s">
        <v>614</v>
      </c>
      <c r="G195" t="str">
        <f>TEXT(Table1_1[[#This Row],[Joining_Date]],"mmm")</f>
        <v>Dec</v>
      </c>
      <c r="H195" t="str">
        <f>TEXT(Table1_1[[#This Row],[Joining_Date]],"yyyy")</f>
        <v>2020</v>
      </c>
      <c r="I195" s="1">
        <v>44384</v>
      </c>
      <c r="J195" t="s">
        <v>18</v>
      </c>
      <c r="K195">
        <f>IF(Table1_1[[#This Row],[Status]]="Exited",1,0)</f>
        <v>1</v>
      </c>
      <c r="L195">
        <f>IF(Table1_1[[#This Row],[Status]]="Exited",0,1)</f>
        <v>0</v>
      </c>
      <c r="M195">
        <v>414760</v>
      </c>
      <c r="N195">
        <v>3.2</v>
      </c>
      <c r="O195" t="s">
        <v>30</v>
      </c>
      <c r="P195">
        <v>75.2</v>
      </c>
      <c r="Q195" t="str">
        <f t="shared" si="3"/>
        <v>Low</v>
      </c>
      <c r="X195">
        <v>98</v>
      </c>
    </row>
    <row r="196" spans="1:24" x14ac:dyDescent="0.3">
      <c r="A196" t="s">
        <v>615</v>
      </c>
      <c r="B196" t="s">
        <v>616</v>
      </c>
      <c r="C196" t="s">
        <v>14</v>
      </c>
      <c r="D196" t="s">
        <v>15</v>
      </c>
      <c r="E196" t="s">
        <v>50</v>
      </c>
      <c r="F196" t="s">
        <v>617</v>
      </c>
      <c r="G196" t="str">
        <f>TEXT(Table1_1[[#This Row],[Joining_Date]],"mmm")</f>
        <v>Jan</v>
      </c>
      <c r="H196" t="str">
        <f>TEXT(Table1_1[[#This Row],[Joining_Date]],"yyyy")</f>
        <v>2019</v>
      </c>
      <c r="I196" s="1"/>
      <c r="J196" t="s">
        <v>29</v>
      </c>
      <c r="K196">
        <f>IF(Table1_1[[#This Row],[Status]]="Exited",1,0)</f>
        <v>0</v>
      </c>
      <c r="L196">
        <f>IF(Table1_1[[#This Row],[Status]]="Exited",0,1)</f>
        <v>1</v>
      </c>
      <c r="M196">
        <v>551667</v>
      </c>
      <c r="N196">
        <v>3.4</v>
      </c>
      <c r="O196" t="s">
        <v>42</v>
      </c>
      <c r="P196">
        <v>77</v>
      </c>
      <c r="Q196" t="str">
        <f t="shared" si="3"/>
        <v>Low</v>
      </c>
      <c r="X196">
        <v>90.5</v>
      </c>
    </row>
    <row r="197" spans="1:24" x14ac:dyDescent="0.3">
      <c r="A197" t="s">
        <v>618</v>
      </c>
      <c r="B197" t="s">
        <v>619</v>
      </c>
      <c r="C197" t="s">
        <v>61</v>
      </c>
      <c r="D197" t="s">
        <v>49</v>
      </c>
      <c r="E197" t="s">
        <v>45</v>
      </c>
      <c r="F197" t="s">
        <v>620</v>
      </c>
      <c r="G197" t="str">
        <f>TEXT(Table1_1[[#This Row],[Joining_Date]],"mmm")</f>
        <v>Jul</v>
      </c>
      <c r="H197" t="str">
        <f>TEXT(Table1_1[[#This Row],[Joining_Date]],"yyyy")</f>
        <v>2024</v>
      </c>
      <c r="I197" s="1"/>
      <c r="J197" t="s">
        <v>29</v>
      </c>
      <c r="K197">
        <f>IF(Table1_1[[#This Row],[Status]]="Exited",1,0)</f>
        <v>0</v>
      </c>
      <c r="L197">
        <f>IF(Table1_1[[#This Row],[Status]]="Exited",0,1)</f>
        <v>1</v>
      </c>
      <c r="M197">
        <v>715194</v>
      </c>
      <c r="N197">
        <v>4.4000000000000004</v>
      </c>
      <c r="O197" t="s">
        <v>30</v>
      </c>
      <c r="P197">
        <v>84.7</v>
      </c>
      <c r="Q197" t="str">
        <f t="shared" si="3"/>
        <v>High</v>
      </c>
      <c r="X197">
        <v>96.7</v>
      </c>
    </row>
    <row r="198" spans="1:24" x14ac:dyDescent="0.3">
      <c r="A198" t="s">
        <v>621</v>
      </c>
      <c r="B198" t="s">
        <v>622</v>
      </c>
      <c r="C198" t="s">
        <v>54</v>
      </c>
      <c r="D198" t="s">
        <v>33</v>
      </c>
      <c r="E198" t="s">
        <v>45</v>
      </c>
      <c r="F198" t="s">
        <v>623</v>
      </c>
      <c r="G198" t="str">
        <f>TEXT(Table1_1[[#This Row],[Joining_Date]],"mmm")</f>
        <v>May</v>
      </c>
      <c r="H198" t="str">
        <f>TEXT(Table1_1[[#This Row],[Joining_Date]],"yyyy")</f>
        <v>2024</v>
      </c>
      <c r="I198" s="1">
        <v>45511</v>
      </c>
      <c r="J198" t="s">
        <v>18</v>
      </c>
      <c r="K198">
        <f>IF(Table1_1[[#This Row],[Status]]="Exited",1,0)</f>
        <v>1</v>
      </c>
      <c r="L198">
        <f>IF(Table1_1[[#This Row],[Status]]="Exited",0,1)</f>
        <v>0</v>
      </c>
      <c r="M198">
        <v>1062490</v>
      </c>
      <c r="N198">
        <v>3.9</v>
      </c>
      <c r="O198" t="s">
        <v>42</v>
      </c>
      <c r="P198">
        <v>93.1</v>
      </c>
      <c r="Q198" t="str">
        <f t="shared" si="3"/>
        <v>Low</v>
      </c>
      <c r="X198">
        <v>75.400000000000006</v>
      </c>
    </row>
    <row r="199" spans="1:24" x14ac:dyDescent="0.3">
      <c r="A199" t="s">
        <v>624</v>
      </c>
      <c r="B199" t="s">
        <v>625</v>
      </c>
      <c r="C199" t="s">
        <v>14</v>
      </c>
      <c r="D199" t="s">
        <v>10</v>
      </c>
      <c r="E199" t="s">
        <v>16</v>
      </c>
      <c r="F199" t="s">
        <v>626</v>
      </c>
      <c r="G199" t="str">
        <f>TEXT(Table1_1[[#This Row],[Joining_Date]],"mmm")</f>
        <v>Aug</v>
      </c>
      <c r="H199" t="str">
        <f>TEXT(Table1_1[[#This Row],[Joining_Date]],"yyyy")</f>
        <v>2021</v>
      </c>
      <c r="I199" s="1"/>
      <c r="J199" t="s">
        <v>29</v>
      </c>
      <c r="K199">
        <f>IF(Table1_1[[#This Row],[Status]]="Exited",1,0)</f>
        <v>0</v>
      </c>
      <c r="L199">
        <f>IF(Table1_1[[#This Row],[Status]]="Exited",0,1)</f>
        <v>1</v>
      </c>
      <c r="M199">
        <v>352839</v>
      </c>
      <c r="N199">
        <v>4</v>
      </c>
      <c r="O199" t="s">
        <v>24</v>
      </c>
      <c r="P199">
        <v>81.3</v>
      </c>
      <c r="Q199" t="str">
        <f t="shared" si="3"/>
        <v>Low</v>
      </c>
      <c r="X199">
        <v>99</v>
      </c>
    </row>
    <row r="200" spans="1:24" x14ac:dyDescent="0.3">
      <c r="A200" t="s">
        <v>627</v>
      </c>
      <c r="B200" t="s">
        <v>628</v>
      </c>
      <c r="C200" t="s">
        <v>37</v>
      </c>
      <c r="D200" t="s">
        <v>33</v>
      </c>
      <c r="E200" t="s">
        <v>16</v>
      </c>
      <c r="F200" t="s">
        <v>629</v>
      </c>
      <c r="G200" t="str">
        <f>TEXT(Table1_1[[#This Row],[Joining_Date]],"mmm")</f>
        <v>Oct</v>
      </c>
      <c r="H200" t="str">
        <f>TEXT(Table1_1[[#This Row],[Joining_Date]],"yyyy")</f>
        <v>2020</v>
      </c>
      <c r="I200" s="1"/>
      <c r="J200" t="s">
        <v>29</v>
      </c>
      <c r="K200">
        <f>IF(Table1_1[[#This Row],[Status]]="Exited",1,0)</f>
        <v>0</v>
      </c>
      <c r="L200">
        <f>IF(Table1_1[[#This Row],[Status]]="Exited",0,1)</f>
        <v>1</v>
      </c>
      <c r="M200">
        <v>500965</v>
      </c>
      <c r="N200">
        <v>3</v>
      </c>
      <c r="O200" t="s">
        <v>30</v>
      </c>
      <c r="P200">
        <v>80.900000000000006</v>
      </c>
      <c r="Q200" t="str">
        <f t="shared" si="3"/>
        <v>Low</v>
      </c>
      <c r="X200">
        <v>96.2</v>
      </c>
    </row>
    <row r="201" spans="1:24" x14ac:dyDescent="0.3">
      <c r="A201" t="s">
        <v>630</v>
      </c>
      <c r="B201" t="s">
        <v>631</v>
      </c>
      <c r="C201" t="s">
        <v>54</v>
      </c>
      <c r="D201" t="s">
        <v>33</v>
      </c>
      <c r="E201" t="s">
        <v>45</v>
      </c>
      <c r="F201" t="s">
        <v>632</v>
      </c>
      <c r="G201" t="str">
        <f>TEXT(Table1_1[[#This Row],[Joining_Date]],"mmm")</f>
        <v>Jul</v>
      </c>
      <c r="H201" t="str">
        <f>TEXT(Table1_1[[#This Row],[Joining_Date]],"yyyy")</f>
        <v>2020</v>
      </c>
      <c r="I201" s="1">
        <v>45145</v>
      </c>
      <c r="J201" t="s">
        <v>18</v>
      </c>
      <c r="K201">
        <f>IF(Table1_1[[#This Row],[Status]]="Exited",1,0)</f>
        <v>1</v>
      </c>
      <c r="L201">
        <f>IF(Table1_1[[#This Row],[Status]]="Exited",0,1)</f>
        <v>0</v>
      </c>
      <c r="M201">
        <v>447617</v>
      </c>
      <c r="N201">
        <v>2.5</v>
      </c>
      <c r="O201" t="s">
        <v>30</v>
      </c>
      <c r="P201">
        <v>91.7</v>
      </c>
      <c r="Q201" t="str">
        <f t="shared" si="3"/>
        <v>Low</v>
      </c>
      <c r="X201">
        <v>89.7</v>
      </c>
    </row>
    <row r="202" spans="1:24" x14ac:dyDescent="0.3">
      <c r="A202" t="s">
        <v>633</v>
      </c>
      <c r="B202" t="s">
        <v>634</v>
      </c>
      <c r="C202" t="s">
        <v>37</v>
      </c>
      <c r="D202" t="s">
        <v>33</v>
      </c>
      <c r="E202" t="s">
        <v>16</v>
      </c>
      <c r="F202" t="s">
        <v>635</v>
      </c>
      <c r="G202" t="str">
        <f>TEXT(Table1_1[[#This Row],[Joining_Date]],"mmm")</f>
        <v>Sep</v>
      </c>
      <c r="H202" t="str">
        <f>TEXT(Table1_1[[#This Row],[Joining_Date]],"yyyy")</f>
        <v>2023</v>
      </c>
      <c r="I202" s="1"/>
      <c r="J202" t="s">
        <v>29</v>
      </c>
      <c r="K202">
        <f>IF(Table1_1[[#This Row],[Status]]="Exited",1,0)</f>
        <v>0</v>
      </c>
      <c r="L202">
        <f>IF(Table1_1[[#This Row],[Status]]="Exited",0,1)</f>
        <v>1</v>
      </c>
      <c r="M202">
        <v>862187</v>
      </c>
      <c r="N202">
        <v>3.1</v>
      </c>
      <c r="O202" t="s">
        <v>24</v>
      </c>
      <c r="P202">
        <v>89.9</v>
      </c>
      <c r="Q202" t="str">
        <f t="shared" si="3"/>
        <v>Low</v>
      </c>
      <c r="X202">
        <v>93.6</v>
      </c>
    </row>
    <row r="203" spans="1:24" x14ac:dyDescent="0.3">
      <c r="A203" t="s">
        <v>636</v>
      </c>
      <c r="B203" t="s">
        <v>637</v>
      </c>
      <c r="C203" t="s">
        <v>37</v>
      </c>
      <c r="D203" t="s">
        <v>10</v>
      </c>
      <c r="E203" t="s">
        <v>50</v>
      </c>
      <c r="F203" t="s">
        <v>638</v>
      </c>
      <c r="G203" t="str">
        <f>TEXT(Table1_1[[#This Row],[Joining_Date]],"mmm")</f>
        <v>Dec</v>
      </c>
      <c r="H203" t="str">
        <f>TEXT(Table1_1[[#This Row],[Joining_Date]],"yyyy")</f>
        <v>2022</v>
      </c>
      <c r="I203" s="1">
        <v>45042</v>
      </c>
      <c r="J203" t="s">
        <v>18</v>
      </c>
      <c r="K203">
        <f>IF(Table1_1[[#This Row],[Status]]="Exited",1,0)</f>
        <v>1</v>
      </c>
      <c r="L203">
        <f>IF(Table1_1[[#This Row],[Status]]="Exited",0,1)</f>
        <v>0</v>
      </c>
      <c r="M203">
        <v>228159</v>
      </c>
      <c r="N203">
        <v>2.6</v>
      </c>
      <c r="O203" t="s">
        <v>19</v>
      </c>
      <c r="P203">
        <v>85.5</v>
      </c>
      <c r="Q203" t="str">
        <f t="shared" si="3"/>
        <v>Low</v>
      </c>
      <c r="X203">
        <v>92.9</v>
      </c>
    </row>
    <row r="204" spans="1:24" x14ac:dyDescent="0.3">
      <c r="A204" t="s">
        <v>639</v>
      </c>
      <c r="B204" t="s">
        <v>640</v>
      </c>
      <c r="C204" t="s">
        <v>22</v>
      </c>
      <c r="D204" t="s">
        <v>15</v>
      </c>
      <c r="E204" t="s">
        <v>27</v>
      </c>
      <c r="F204" t="s">
        <v>641</v>
      </c>
      <c r="G204" t="str">
        <f>TEXT(Table1_1[[#This Row],[Joining_Date]],"mmm")</f>
        <v>May</v>
      </c>
      <c r="H204" t="str">
        <f>TEXT(Table1_1[[#This Row],[Joining_Date]],"yyyy")</f>
        <v>2022</v>
      </c>
      <c r="I204" s="1">
        <v>45722</v>
      </c>
      <c r="J204" t="s">
        <v>18</v>
      </c>
      <c r="K204">
        <f>IF(Table1_1[[#This Row],[Status]]="Exited",1,0)</f>
        <v>1</v>
      </c>
      <c r="L204">
        <f>IF(Table1_1[[#This Row],[Status]]="Exited",0,1)</f>
        <v>0</v>
      </c>
      <c r="M204">
        <v>409346</v>
      </c>
      <c r="N204">
        <v>3.8</v>
      </c>
      <c r="O204" t="s">
        <v>19</v>
      </c>
      <c r="P204">
        <v>84.8</v>
      </c>
      <c r="Q204" t="str">
        <f t="shared" si="3"/>
        <v>Low</v>
      </c>
      <c r="X204">
        <v>94.3</v>
      </c>
    </row>
    <row r="205" spans="1:24" x14ac:dyDescent="0.3">
      <c r="A205" t="s">
        <v>642</v>
      </c>
      <c r="B205" t="s">
        <v>643</v>
      </c>
      <c r="C205" t="s">
        <v>37</v>
      </c>
      <c r="D205" t="s">
        <v>49</v>
      </c>
      <c r="E205" t="s">
        <v>27</v>
      </c>
      <c r="F205" t="s">
        <v>644</v>
      </c>
      <c r="G205" t="str">
        <f>TEXT(Table1_1[[#This Row],[Joining_Date]],"mmm")</f>
        <v>Nov</v>
      </c>
      <c r="H205" t="str">
        <f>TEXT(Table1_1[[#This Row],[Joining_Date]],"yyyy")</f>
        <v>2021</v>
      </c>
      <c r="I205" s="1"/>
      <c r="J205" t="s">
        <v>29</v>
      </c>
      <c r="K205">
        <f>IF(Table1_1[[#This Row],[Status]]="Exited",1,0)</f>
        <v>0</v>
      </c>
      <c r="L205">
        <f>IF(Table1_1[[#This Row],[Status]]="Exited",0,1)</f>
        <v>1</v>
      </c>
      <c r="M205">
        <v>311617</v>
      </c>
      <c r="N205">
        <v>4.5999999999999996</v>
      </c>
      <c r="O205" t="s">
        <v>24</v>
      </c>
      <c r="P205">
        <v>78.3</v>
      </c>
      <c r="Q205" t="str">
        <f t="shared" si="3"/>
        <v>High</v>
      </c>
      <c r="X205">
        <v>88.6</v>
      </c>
    </row>
    <row r="206" spans="1:24" x14ac:dyDescent="0.3">
      <c r="A206" t="s">
        <v>645</v>
      </c>
      <c r="B206" t="s">
        <v>646</v>
      </c>
      <c r="C206" t="s">
        <v>37</v>
      </c>
      <c r="D206" t="s">
        <v>15</v>
      </c>
      <c r="E206" t="s">
        <v>50</v>
      </c>
      <c r="F206" t="s">
        <v>647</v>
      </c>
      <c r="G206" t="str">
        <f>TEXT(Table1_1[[#This Row],[Joining_Date]],"mmm")</f>
        <v>Jun</v>
      </c>
      <c r="H206" t="str">
        <f>TEXT(Table1_1[[#This Row],[Joining_Date]],"yyyy")</f>
        <v>2024</v>
      </c>
      <c r="I206" s="1">
        <v>46300</v>
      </c>
      <c r="J206" t="s">
        <v>18</v>
      </c>
      <c r="K206">
        <f>IF(Table1_1[[#This Row],[Status]]="Exited",1,0)</f>
        <v>1</v>
      </c>
      <c r="L206">
        <f>IF(Table1_1[[#This Row],[Status]]="Exited",0,1)</f>
        <v>0</v>
      </c>
      <c r="M206">
        <v>434542</v>
      </c>
      <c r="N206">
        <v>3</v>
      </c>
      <c r="O206" t="s">
        <v>19</v>
      </c>
      <c r="P206">
        <v>85.9</v>
      </c>
      <c r="Q206" t="str">
        <f t="shared" si="3"/>
        <v>Low</v>
      </c>
      <c r="X206">
        <v>97.1</v>
      </c>
    </row>
    <row r="207" spans="1:24" x14ac:dyDescent="0.3">
      <c r="A207" t="s">
        <v>648</v>
      </c>
      <c r="B207" t="s">
        <v>649</v>
      </c>
      <c r="C207" t="s">
        <v>22</v>
      </c>
      <c r="D207" t="s">
        <v>15</v>
      </c>
      <c r="E207" t="s">
        <v>50</v>
      </c>
      <c r="F207" t="s">
        <v>650</v>
      </c>
      <c r="G207" t="str">
        <f>TEXT(Table1_1[[#This Row],[Joining_Date]],"mmm")</f>
        <v>Sep</v>
      </c>
      <c r="H207" t="str">
        <f>TEXT(Table1_1[[#This Row],[Joining_Date]],"yyyy")</f>
        <v>2024</v>
      </c>
      <c r="I207" s="1"/>
      <c r="J207" t="s">
        <v>29</v>
      </c>
      <c r="K207">
        <f>IF(Table1_1[[#This Row],[Status]]="Exited",1,0)</f>
        <v>0</v>
      </c>
      <c r="L207">
        <f>IF(Table1_1[[#This Row],[Status]]="Exited",0,1)</f>
        <v>1</v>
      </c>
      <c r="M207">
        <v>491039</v>
      </c>
      <c r="N207">
        <v>3.5</v>
      </c>
      <c r="O207" t="s">
        <v>24</v>
      </c>
      <c r="P207">
        <v>84.3</v>
      </c>
      <c r="Q207" t="str">
        <f t="shared" si="3"/>
        <v>Low</v>
      </c>
      <c r="X207">
        <v>92.5</v>
      </c>
    </row>
    <row r="208" spans="1:24" x14ac:dyDescent="0.3">
      <c r="A208" t="s">
        <v>651</v>
      </c>
      <c r="B208" t="s">
        <v>652</v>
      </c>
      <c r="C208" t="s">
        <v>61</v>
      </c>
      <c r="D208" t="s">
        <v>10</v>
      </c>
      <c r="E208" t="s">
        <v>45</v>
      </c>
      <c r="F208" t="s">
        <v>653</v>
      </c>
      <c r="G208" t="str">
        <f>TEXT(Table1_1[[#This Row],[Joining_Date]],"mmm")</f>
        <v>Oct</v>
      </c>
      <c r="H208" t="str">
        <f>TEXT(Table1_1[[#This Row],[Joining_Date]],"yyyy")</f>
        <v>2021</v>
      </c>
      <c r="I208" s="1">
        <v>44815</v>
      </c>
      <c r="J208" t="s">
        <v>18</v>
      </c>
      <c r="K208">
        <f>IF(Table1_1[[#This Row],[Status]]="Exited",1,0)</f>
        <v>1</v>
      </c>
      <c r="L208">
        <f>IF(Table1_1[[#This Row],[Status]]="Exited",0,1)</f>
        <v>0</v>
      </c>
      <c r="M208">
        <v>1190855</v>
      </c>
      <c r="N208">
        <v>4.9000000000000004</v>
      </c>
      <c r="O208" t="s">
        <v>42</v>
      </c>
      <c r="P208">
        <v>93.5</v>
      </c>
      <c r="Q208" t="str">
        <f t="shared" si="3"/>
        <v>High</v>
      </c>
      <c r="X208">
        <v>99.1</v>
      </c>
    </row>
    <row r="209" spans="1:24" x14ac:dyDescent="0.3">
      <c r="A209" t="s">
        <v>654</v>
      </c>
      <c r="B209" t="s">
        <v>655</v>
      </c>
      <c r="C209" t="s">
        <v>14</v>
      </c>
      <c r="D209" t="s">
        <v>15</v>
      </c>
      <c r="E209" t="s">
        <v>50</v>
      </c>
      <c r="F209" t="s">
        <v>656</v>
      </c>
      <c r="G209" t="str">
        <f>TEXT(Table1_1[[#This Row],[Joining_Date]],"mmm")</f>
        <v>Oct</v>
      </c>
      <c r="H209" t="str">
        <f>TEXT(Table1_1[[#This Row],[Joining_Date]],"yyyy")</f>
        <v>2022</v>
      </c>
      <c r="I209" s="1">
        <v>45123</v>
      </c>
      <c r="J209" t="s">
        <v>18</v>
      </c>
      <c r="K209">
        <f>IF(Table1_1[[#This Row],[Status]]="Exited",1,0)</f>
        <v>1</v>
      </c>
      <c r="L209">
        <f>IF(Table1_1[[#This Row],[Status]]="Exited",0,1)</f>
        <v>0</v>
      </c>
      <c r="M209">
        <v>814431</v>
      </c>
      <c r="N209">
        <v>2.8</v>
      </c>
      <c r="O209" t="s">
        <v>30</v>
      </c>
      <c r="P209">
        <v>93.7</v>
      </c>
      <c r="Q209" t="str">
        <f t="shared" si="3"/>
        <v>Low</v>
      </c>
      <c r="X209">
        <v>95.6</v>
      </c>
    </row>
    <row r="210" spans="1:24" x14ac:dyDescent="0.3">
      <c r="A210" t="s">
        <v>657</v>
      </c>
      <c r="B210" t="s">
        <v>658</v>
      </c>
      <c r="C210" t="s">
        <v>61</v>
      </c>
      <c r="D210" t="s">
        <v>33</v>
      </c>
      <c r="E210" t="s">
        <v>50</v>
      </c>
      <c r="F210" t="s">
        <v>659</v>
      </c>
      <c r="G210" t="str">
        <f>TEXT(Table1_1[[#This Row],[Joining_Date]],"mmm")</f>
        <v>Sep</v>
      </c>
      <c r="H210" t="str">
        <f>TEXT(Table1_1[[#This Row],[Joining_Date]],"yyyy")</f>
        <v>2021</v>
      </c>
      <c r="I210" s="1">
        <v>44648</v>
      </c>
      <c r="J210" t="s">
        <v>18</v>
      </c>
      <c r="K210">
        <f>IF(Table1_1[[#This Row],[Status]]="Exited",1,0)</f>
        <v>1</v>
      </c>
      <c r="L210">
        <f>IF(Table1_1[[#This Row],[Status]]="Exited",0,1)</f>
        <v>0</v>
      </c>
      <c r="M210">
        <v>566472</v>
      </c>
      <c r="N210">
        <v>4.5</v>
      </c>
      <c r="O210" t="s">
        <v>30</v>
      </c>
      <c r="P210">
        <v>76.400000000000006</v>
      </c>
      <c r="Q210" t="str">
        <f t="shared" si="3"/>
        <v>High</v>
      </c>
      <c r="X210">
        <v>82.3</v>
      </c>
    </row>
    <row r="211" spans="1:24" x14ac:dyDescent="0.3">
      <c r="A211" t="s">
        <v>660</v>
      </c>
      <c r="B211" t="s">
        <v>661</v>
      </c>
      <c r="C211" t="s">
        <v>54</v>
      </c>
      <c r="D211" t="s">
        <v>15</v>
      </c>
      <c r="E211" t="s">
        <v>50</v>
      </c>
      <c r="F211" t="s">
        <v>662</v>
      </c>
      <c r="G211" t="str">
        <f>TEXT(Table1_1[[#This Row],[Joining_Date]],"mmm")</f>
        <v>Nov</v>
      </c>
      <c r="H211" t="str">
        <f>TEXT(Table1_1[[#This Row],[Joining_Date]],"yyyy")</f>
        <v>2018</v>
      </c>
      <c r="I211" s="1">
        <v>44206</v>
      </c>
      <c r="J211" t="s">
        <v>18</v>
      </c>
      <c r="K211">
        <f>IF(Table1_1[[#This Row],[Status]]="Exited",1,0)</f>
        <v>1</v>
      </c>
      <c r="L211">
        <f>IF(Table1_1[[#This Row],[Status]]="Exited",0,1)</f>
        <v>0</v>
      </c>
      <c r="M211">
        <v>373628</v>
      </c>
      <c r="N211">
        <v>4.8</v>
      </c>
      <c r="O211" t="s">
        <v>42</v>
      </c>
      <c r="P211">
        <v>82.6</v>
      </c>
      <c r="Q211" t="str">
        <f t="shared" si="3"/>
        <v>High</v>
      </c>
      <c r="X211">
        <v>76.3</v>
      </c>
    </row>
    <row r="212" spans="1:24" x14ac:dyDescent="0.3">
      <c r="A212" t="s">
        <v>663</v>
      </c>
      <c r="B212" t="s">
        <v>664</v>
      </c>
      <c r="C212" t="s">
        <v>14</v>
      </c>
      <c r="D212" t="s">
        <v>10</v>
      </c>
      <c r="E212" t="s">
        <v>50</v>
      </c>
      <c r="F212" t="s">
        <v>308</v>
      </c>
      <c r="G212" t="str">
        <f>TEXT(Table1_1[[#This Row],[Joining_Date]],"mmm")</f>
        <v>Jul</v>
      </c>
      <c r="H212" t="str">
        <f>TEXT(Table1_1[[#This Row],[Joining_Date]],"yyyy")</f>
        <v>2021</v>
      </c>
      <c r="I212" s="1">
        <v>45195</v>
      </c>
      <c r="J212" t="s">
        <v>18</v>
      </c>
      <c r="K212">
        <f>IF(Table1_1[[#This Row],[Status]]="Exited",1,0)</f>
        <v>1</v>
      </c>
      <c r="L212">
        <f>IF(Table1_1[[#This Row],[Status]]="Exited",0,1)</f>
        <v>0</v>
      </c>
      <c r="M212">
        <v>732157</v>
      </c>
      <c r="N212">
        <v>2.2000000000000002</v>
      </c>
      <c r="O212" t="s">
        <v>42</v>
      </c>
      <c r="P212">
        <v>96.5</v>
      </c>
      <c r="Q212" t="str">
        <f t="shared" si="3"/>
        <v>Low</v>
      </c>
      <c r="X212">
        <v>75.3</v>
      </c>
    </row>
    <row r="213" spans="1:24" x14ac:dyDescent="0.3">
      <c r="A213" t="s">
        <v>665</v>
      </c>
      <c r="B213" t="s">
        <v>666</v>
      </c>
      <c r="C213" t="s">
        <v>54</v>
      </c>
      <c r="D213" t="s">
        <v>15</v>
      </c>
      <c r="E213" t="s">
        <v>27</v>
      </c>
      <c r="F213" t="s">
        <v>667</v>
      </c>
      <c r="G213" t="str">
        <f>TEXT(Table1_1[[#This Row],[Joining_Date]],"mmm")</f>
        <v>Apr</v>
      </c>
      <c r="H213" t="str">
        <f>TEXT(Table1_1[[#This Row],[Joining_Date]],"yyyy")</f>
        <v>2019</v>
      </c>
      <c r="I213" s="1">
        <v>44104</v>
      </c>
      <c r="J213" t="s">
        <v>18</v>
      </c>
      <c r="K213">
        <f>IF(Table1_1[[#This Row],[Status]]="Exited",1,0)</f>
        <v>1</v>
      </c>
      <c r="L213">
        <f>IF(Table1_1[[#This Row],[Status]]="Exited",0,1)</f>
        <v>0</v>
      </c>
      <c r="M213">
        <v>272639</v>
      </c>
      <c r="N213">
        <v>4.7</v>
      </c>
      <c r="O213" t="s">
        <v>19</v>
      </c>
      <c r="P213">
        <v>97.4</v>
      </c>
      <c r="Q213" t="str">
        <f t="shared" si="3"/>
        <v>High</v>
      </c>
      <c r="X213">
        <v>86.6</v>
      </c>
    </row>
    <row r="214" spans="1:24" x14ac:dyDescent="0.3">
      <c r="A214" t="s">
        <v>668</v>
      </c>
      <c r="B214" t="s">
        <v>669</v>
      </c>
      <c r="C214" t="s">
        <v>37</v>
      </c>
      <c r="D214" t="s">
        <v>33</v>
      </c>
      <c r="E214" t="s">
        <v>50</v>
      </c>
      <c r="F214" t="s">
        <v>670</v>
      </c>
      <c r="G214" t="str">
        <f>TEXT(Table1_1[[#This Row],[Joining_Date]],"mmm")</f>
        <v>Jan</v>
      </c>
      <c r="H214" t="str">
        <f>TEXT(Table1_1[[#This Row],[Joining_Date]],"yyyy")</f>
        <v>2019</v>
      </c>
      <c r="I214" s="1"/>
      <c r="J214" t="s">
        <v>29</v>
      </c>
      <c r="K214">
        <f>IF(Table1_1[[#This Row],[Status]]="Exited",1,0)</f>
        <v>0</v>
      </c>
      <c r="L214">
        <f>IF(Table1_1[[#This Row],[Status]]="Exited",0,1)</f>
        <v>1</v>
      </c>
      <c r="M214">
        <v>772715</v>
      </c>
      <c r="N214">
        <v>3.6</v>
      </c>
      <c r="O214" t="s">
        <v>30</v>
      </c>
      <c r="P214">
        <v>81.8</v>
      </c>
      <c r="Q214" t="str">
        <f t="shared" si="3"/>
        <v>Low</v>
      </c>
      <c r="X214">
        <v>83.6</v>
      </c>
    </row>
    <row r="215" spans="1:24" x14ac:dyDescent="0.3">
      <c r="A215" t="s">
        <v>671</v>
      </c>
      <c r="B215" t="s">
        <v>672</v>
      </c>
      <c r="C215" t="s">
        <v>54</v>
      </c>
      <c r="D215" t="s">
        <v>15</v>
      </c>
      <c r="E215" t="s">
        <v>27</v>
      </c>
      <c r="F215" t="s">
        <v>673</v>
      </c>
      <c r="G215" t="str">
        <f>TEXT(Table1_1[[#This Row],[Joining_Date]],"mmm")</f>
        <v>Dec</v>
      </c>
      <c r="H215" t="str">
        <f>TEXT(Table1_1[[#This Row],[Joining_Date]],"yyyy")</f>
        <v>2021</v>
      </c>
      <c r="I215" s="1">
        <v>44891</v>
      </c>
      <c r="J215" t="s">
        <v>18</v>
      </c>
      <c r="K215">
        <f>IF(Table1_1[[#This Row],[Status]]="Exited",1,0)</f>
        <v>1</v>
      </c>
      <c r="L215">
        <f>IF(Table1_1[[#This Row],[Status]]="Exited",0,1)</f>
        <v>0</v>
      </c>
      <c r="M215">
        <v>945639</v>
      </c>
      <c r="N215">
        <v>2.2999999999999998</v>
      </c>
      <c r="O215" t="s">
        <v>30</v>
      </c>
      <c r="P215">
        <v>97.4</v>
      </c>
      <c r="Q215" t="str">
        <f t="shared" si="3"/>
        <v>Low</v>
      </c>
      <c r="X215">
        <v>90.9</v>
      </c>
    </row>
    <row r="216" spans="1:24" x14ac:dyDescent="0.3">
      <c r="A216" t="s">
        <v>674</v>
      </c>
      <c r="B216" t="s">
        <v>675</v>
      </c>
      <c r="C216" t="s">
        <v>37</v>
      </c>
      <c r="D216" t="s">
        <v>33</v>
      </c>
      <c r="E216" t="s">
        <v>50</v>
      </c>
      <c r="F216" t="s">
        <v>676</v>
      </c>
      <c r="G216" t="str">
        <f>TEXT(Table1_1[[#This Row],[Joining_Date]],"mmm")</f>
        <v>Mar</v>
      </c>
      <c r="H216" t="str">
        <f>TEXT(Table1_1[[#This Row],[Joining_Date]],"yyyy")</f>
        <v>2022</v>
      </c>
      <c r="I216" s="1">
        <v>45634</v>
      </c>
      <c r="J216" t="s">
        <v>18</v>
      </c>
      <c r="K216">
        <f>IF(Table1_1[[#This Row],[Status]]="Exited",1,0)</f>
        <v>1</v>
      </c>
      <c r="L216">
        <f>IF(Table1_1[[#This Row],[Status]]="Exited",0,1)</f>
        <v>0</v>
      </c>
      <c r="M216">
        <v>1069109</v>
      </c>
      <c r="N216">
        <v>4.8</v>
      </c>
      <c r="O216" t="s">
        <v>30</v>
      </c>
      <c r="P216">
        <v>83.7</v>
      </c>
      <c r="Q216" t="str">
        <f t="shared" si="3"/>
        <v>High</v>
      </c>
      <c r="X216">
        <v>91</v>
      </c>
    </row>
    <row r="217" spans="1:24" x14ac:dyDescent="0.3">
      <c r="A217" t="s">
        <v>678</v>
      </c>
      <c r="B217" t="s">
        <v>679</v>
      </c>
      <c r="C217" t="s">
        <v>37</v>
      </c>
      <c r="D217" t="s">
        <v>10</v>
      </c>
      <c r="E217" t="s">
        <v>27</v>
      </c>
      <c r="F217" t="s">
        <v>680</v>
      </c>
      <c r="G217" t="str">
        <f>TEXT(Table1_1[[#This Row],[Joining_Date]],"mmm")</f>
        <v>Jan</v>
      </c>
      <c r="H217" t="str">
        <f>TEXT(Table1_1[[#This Row],[Joining_Date]],"yyyy")</f>
        <v>2023</v>
      </c>
      <c r="I217" s="1"/>
      <c r="J217" t="s">
        <v>29</v>
      </c>
      <c r="K217">
        <f>IF(Table1_1[[#This Row],[Status]]="Exited",1,0)</f>
        <v>0</v>
      </c>
      <c r="L217">
        <f>IF(Table1_1[[#This Row],[Status]]="Exited",0,1)</f>
        <v>1</v>
      </c>
      <c r="M217">
        <v>1172055</v>
      </c>
      <c r="N217">
        <v>3.5</v>
      </c>
      <c r="O217" t="s">
        <v>42</v>
      </c>
      <c r="P217">
        <v>88.7</v>
      </c>
      <c r="Q217" t="str">
        <f t="shared" si="3"/>
        <v>Low</v>
      </c>
      <c r="X217">
        <v>79</v>
      </c>
    </row>
    <row r="218" spans="1:24" x14ac:dyDescent="0.3">
      <c r="A218" t="s">
        <v>681</v>
      </c>
      <c r="B218" t="s">
        <v>682</v>
      </c>
      <c r="C218" t="s">
        <v>61</v>
      </c>
      <c r="D218" t="s">
        <v>33</v>
      </c>
      <c r="E218" t="s">
        <v>50</v>
      </c>
      <c r="F218" t="s">
        <v>683</v>
      </c>
      <c r="G218" t="str">
        <f>TEXT(Table1_1[[#This Row],[Joining_Date]],"mmm")</f>
        <v>Jun</v>
      </c>
      <c r="H218" t="str">
        <f>TEXT(Table1_1[[#This Row],[Joining_Date]],"yyyy")</f>
        <v>2020</v>
      </c>
      <c r="I218" s="1"/>
      <c r="J218" t="s">
        <v>29</v>
      </c>
      <c r="K218">
        <f>IF(Table1_1[[#This Row],[Status]]="Exited",1,0)</f>
        <v>0</v>
      </c>
      <c r="L218">
        <f>IF(Table1_1[[#This Row],[Status]]="Exited",0,1)</f>
        <v>1</v>
      </c>
      <c r="M218">
        <v>267141</v>
      </c>
      <c r="N218">
        <v>4.9000000000000004</v>
      </c>
      <c r="O218" t="s">
        <v>19</v>
      </c>
      <c r="P218">
        <v>95.3</v>
      </c>
      <c r="Q218" t="str">
        <f t="shared" si="3"/>
        <v>High</v>
      </c>
      <c r="X218">
        <v>75.900000000000006</v>
      </c>
    </row>
    <row r="219" spans="1:24" x14ac:dyDescent="0.3">
      <c r="A219" t="s">
        <v>684</v>
      </c>
      <c r="B219" t="s">
        <v>685</v>
      </c>
      <c r="C219" t="s">
        <v>14</v>
      </c>
      <c r="D219" t="s">
        <v>49</v>
      </c>
      <c r="E219" t="s">
        <v>50</v>
      </c>
      <c r="F219" t="s">
        <v>686</v>
      </c>
      <c r="G219" t="str">
        <f>TEXT(Table1_1[[#This Row],[Joining_Date]],"mmm")</f>
        <v>Sep</v>
      </c>
      <c r="H219" t="str">
        <f>TEXT(Table1_1[[#This Row],[Joining_Date]],"yyyy")</f>
        <v>2022</v>
      </c>
      <c r="I219" s="1">
        <v>45547</v>
      </c>
      <c r="J219" t="s">
        <v>18</v>
      </c>
      <c r="K219">
        <f>IF(Table1_1[[#This Row],[Status]]="Exited",1,0)</f>
        <v>1</v>
      </c>
      <c r="L219">
        <f>IF(Table1_1[[#This Row],[Status]]="Exited",0,1)</f>
        <v>0</v>
      </c>
      <c r="M219">
        <v>847925</v>
      </c>
      <c r="N219">
        <v>4.9000000000000004</v>
      </c>
      <c r="O219" t="s">
        <v>42</v>
      </c>
      <c r="P219">
        <v>81.7</v>
      </c>
      <c r="Q219" t="str">
        <f t="shared" si="3"/>
        <v>High</v>
      </c>
      <c r="X219">
        <v>88.2</v>
      </c>
    </row>
    <row r="220" spans="1:24" x14ac:dyDescent="0.3">
      <c r="A220" t="s">
        <v>687</v>
      </c>
      <c r="B220" t="s">
        <v>688</v>
      </c>
      <c r="C220" t="s">
        <v>37</v>
      </c>
      <c r="D220" t="s">
        <v>49</v>
      </c>
      <c r="E220" t="s">
        <v>45</v>
      </c>
      <c r="F220" t="s">
        <v>689</v>
      </c>
      <c r="G220" t="str">
        <f>TEXT(Table1_1[[#This Row],[Joining_Date]],"mmm")</f>
        <v>Aug</v>
      </c>
      <c r="H220" t="str">
        <f>TEXT(Table1_1[[#This Row],[Joining_Date]],"yyyy")</f>
        <v>2022</v>
      </c>
      <c r="I220" s="1">
        <v>45433</v>
      </c>
      <c r="J220" t="s">
        <v>18</v>
      </c>
      <c r="K220">
        <f>IF(Table1_1[[#This Row],[Status]]="Exited",1,0)</f>
        <v>1</v>
      </c>
      <c r="L220">
        <f>IF(Table1_1[[#This Row],[Status]]="Exited",0,1)</f>
        <v>0</v>
      </c>
      <c r="M220">
        <v>637571</v>
      </c>
      <c r="N220">
        <v>4.5</v>
      </c>
      <c r="O220" t="s">
        <v>30</v>
      </c>
      <c r="P220">
        <v>93.9</v>
      </c>
      <c r="Q220" t="str">
        <f t="shared" si="3"/>
        <v>High</v>
      </c>
      <c r="X220">
        <v>78.900000000000006</v>
      </c>
    </row>
    <row r="221" spans="1:24" x14ac:dyDescent="0.3">
      <c r="A221" t="s">
        <v>690</v>
      </c>
      <c r="B221" t="s">
        <v>691</v>
      </c>
      <c r="C221" t="s">
        <v>14</v>
      </c>
      <c r="D221" t="s">
        <v>10</v>
      </c>
      <c r="E221" t="s">
        <v>16</v>
      </c>
      <c r="F221" t="s">
        <v>692</v>
      </c>
      <c r="G221" t="str">
        <f>TEXT(Table1_1[[#This Row],[Joining_Date]],"mmm")</f>
        <v>Jun</v>
      </c>
      <c r="H221" t="str">
        <f>TEXT(Table1_1[[#This Row],[Joining_Date]],"yyyy")</f>
        <v>2020</v>
      </c>
      <c r="I221" s="1"/>
      <c r="J221" t="s">
        <v>29</v>
      </c>
      <c r="K221">
        <f>IF(Table1_1[[#This Row],[Status]]="Exited",1,0)</f>
        <v>0</v>
      </c>
      <c r="L221">
        <f>IF(Table1_1[[#This Row],[Status]]="Exited",0,1)</f>
        <v>1</v>
      </c>
      <c r="M221">
        <v>989577</v>
      </c>
      <c r="N221">
        <v>4.5</v>
      </c>
      <c r="O221" t="s">
        <v>42</v>
      </c>
      <c r="P221">
        <v>88.1</v>
      </c>
      <c r="Q221" t="str">
        <f t="shared" si="3"/>
        <v>High</v>
      </c>
      <c r="X221">
        <v>89.6</v>
      </c>
    </row>
    <row r="222" spans="1:24" x14ac:dyDescent="0.3">
      <c r="A222" t="s">
        <v>693</v>
      </c>
      <c r="B222" t="s">
        <v>694</v>
      </c>
      <c r="C222" t="s">
        <v>22</v>
      </c>
      <c r="D222" t="s">
        <v>10</v>
      </c>
      <c r="E222" t="s">
        <v>50</v>
      </c>
      <c r="F222" t="s">
        <v>695</v>
      </c>
      <c r="G222" t="str">
        <f>TEXT(Table1_1[[#This Row],[Joining_Date]],"mmm")</f>
        <v>Jul</v>
      </c>
      <c r="H222" t="str">
        <f>TEXT(Table1_1[[#This Row],[Joining_Date]],"yyyy")</f>
        <v>2023</v>
      </c>
      <c r="I222" s="1">
        <v>46512</v>
      </c>
      <c r="J222" t="s">
        <v>18</v>
      </c>
      <c r="K222">
        <f>IF(Table1_1[[#This Row],[Status]]="Exited",1,0)</f>
        <v>1</v>
      </c>
      <c r="L222">
        <f>IF(Table1_1[[#This Row],[Status]]="Exited",0,1)</f>
        <v>0</v>
      </c>
      <c r="M222">
        <v>339289</v>
      </c>
      <c r="N222">
        <v>3</v>
      </c>
      <c r="O222" t="s">
        <v>42</v>
      </c>
      <c r="P222">
        <v>88.8</v>
      </c>
      <c r="Q222" t="str">
        <f t="shared" si="3"/>
        <v>Low</v>
      </c>
      <c r="X222">
        <v>77.2</v>
      </c>
    </row>
    <row r="223" spans="1:24" x14ac:dyDescent="0.3">
      <c r="A223" t="s">
        <v>696</v>
      </c>
      <c r="B223" t="s">
        <v>697</v>
      </c>
      <c r="C223" t="s">
        <v>14</v>
      </c>
      <c r="D223" t="s">
        <v>10</v>
      </c>
      <c r="E223" t="s">
        <v>50</v>
      </c>
      <c r="F223" t="s">
        <v>172</v>
      </c>
      <c r="G223" t="str">
        <f>TEXT(Table1_1[[#This Row],[Joining_Date]],"mmm")</f>
        <v>Aug</v>
      </c>
      <c r="H223" t="str">
        <f>TEXT(Table1_1[[#This Row],[Joining_Date]],"yyyy")</f>
        <v>2021</v>
      </c>
      <c r="I223" s="1">
        <v>44877</v>
      </c>
      <c r="J223" t="s">
        <v>18</v>
      </c>
      <c r="K223">
        <f>IF(Table1_1[[#This Row],[Status]]="Exited",1,0)</f>
        <v>1</v>
      </c>
      <c r="L223">
        <f>IF(Table1_1[[#This Row],[Status]]="Exited",0,1)</f>
        <v>0</v>
      </c>
      <c r="M223">
        <v>544918</v>
      </c>
      <c r="N223">
        <v>2.9</v>
      </c>
      <c r="O223" t="s">
        <v>24</v>
      </c>
      <c r="P223">
        <v>76.8</v>
      </c>
      <c r="Q223" t="str">
        <f t="shared" si="3"/>
        <v>Low</v>
      </c>
      <c r="X223">
        <v>86.7</v>
      </c>
    </row>
    <row r="224" spans="1:24" x14ac:dyDescent="0.3">
      <c r="A224" t="s">
        <v>698</v>
      </c>
      <c r="B224" t="s">
        <v>699</v>
      </c>
      <c r="C224" t="s">
        <v>22</v>
      </c>
      <c r="D224" t="s">
        <v>10</v>
      </c>
      <c r="E224" t="s">
        <v>50</v>
      </c>
      <c r="F224" t="s">
        <v>700</v>
      </c>
      <c r="G224" t="str">
        <f>TEXT(Table1_1[[#This Row],[Joining_Date]],"mmm")</f>
        <v>Sep</v>
      </c>
      <c r="H224" t="str">
        <f>TEXT(Table1_1[[#This Row],[Joining_Date]],"yyyy")</f>
        <v>2020</v>
      </c>
      <c r="I224" s="1"/>
      <c r="J224" t="s">
        <v>29</v>
      </c>
      <c r="K224">
        <f>IF(Table1_1[[#This Row],[Status]]="Exited",1,0)</f>
        <v>0</v>
      </c>
      <c r="L224">
        <f>IF(Table1_1[[#This Row],[Status]]="Exited",0,1)</f>
        <v>1</v>
      </c>
      <c r="M224">
        <v>720622</v>
      </c>
      <c r="N224">
        <v>3.5</v>
      </c>
      <c r="O224" t="s">
        <v>24</v>
      </c>
      <c r="P224">
        <v>79.400000000000006</v>
      </c>
      <c r="Q224" t="str">
        <f t="shared" si="3"/>
        <v>Low</v>
      </c>
      <c r="X224">
        <v>90.2</v>
      </c>
    </row>
    <row r="225" spans="1:24" x14ac:dyDescent="0.3">
      <c r="A225" t="s">
        <v>701</v>
      </c>
      <c r="B225" t="s">
        <v>702</v>
      </c>
      <c r="C225" t="s">
        <v>61</v>
      </c>
      <c r="D225" t="s">
        <v>10</v>
      </c>
      <c r="E225" t="s">
        <v>50</v>
      </c>
      <c r="F225" t="s">
        <v>703</v>
      </c>
      <c r="G225" t="str">
        <f>TEXT(Table1_1[[#This Row],[Joining_Date]],"mmm")</f>
        <v>Feb</v>
      </c>
      <c r="H225" t="str">
        <f>TEXT(Table1_1[[#This Row],[Joining_Date]],"yyyy")</f>
        <v>2020</v>
      </c>
      <c r="I225" s="1">
        <v>44331</v>
      </c>
      <c r="J225" t="s">
        <v>18</v>
      </c>
      <c r="K225">
        <f>IF(Table1_1[[#This Row],[Status]]="Exited",1,0)</f>
        <v>1</v>
      </c>
      <c r="L225">
        <f>IF(Table1_1[[#This Row],[Status]]="Exited",0,1)</f>
        <v>0</v>
      </c>
      <c r="M225">
        <v>871780</v>
      </c>
      <c r="N225">
        <v>3.2</v>
      </c>
      <c r="O225" t="s">
        <v>30</v>
      </c>
      <c r="P225">
        <v>79.599999999999994</v>
      </c>
      <c r="Q225" t="str">
        <f t="shared" si="3"/>
        <v>Low</v>
      </c>
      <c r="X225">
        <v>94.9</v>
      </c>
    </row>
    <row r="226" spans="1:24" x14ac:dyDescent="0.3">
      <c r="A226" t="s">
        <v>704</v>
      </c>
      <c r="B226" t="s">
        <v>705</v>
      </c>
      <c r="C226" t="s">
        <v>54</v>
      </c>
      <c r="D226" t="s">
        <v>49</v>
      </c>
      <c r="E226" t="s">
        <v>27</v>
      </c>
      <c r="F226" t="s">
        <v>706</v>
      </c>
      <c r="G226" t="str">
        <f>TEXT(Table1_1[[#This Row],[Joining_Date]],"mmm")</f>
        <v>Jan</v>
      </c>
      <c r="H226" t="str">
        <f>TEXT(Table1_1[[#This Row],[Joining_Date]],"yyyy")</f>
        <v>2019</v>
      </c>
      <c r="I226" s="1">
        <v>44026</v>
      </c>
      <c r="J226" t="s">
        <v>18</v>
      </c>
      <c r="K226">
        <f>IF(Table1_1[[#This Row],[Status]]="Exited",1,0)</f>
        <v>1</v>
      </c>
      <c r="L226">
        <f>IF(Table1_1[[#This Row],[Status]]="Exited",0,1)</f>
        <v>0</v>
      </c>
      <c r="M226">
        <v>1089545</v>
      </c>
      <c r="N226">
        <v>3.3</v>
      </c>
      <c r="O226" t="s">
        <v>30</v>
      </c>
      <c r="P226">
        <v>86.4</v>
      </c>
      <c r="Q226" t="str">
        <f t="shared" si="3"/>
        <v>Low</v>
      </c>
      <c r="X226">
        <v>94.5</v>
      </c>
    </row>
    <row r="227" spans="1:24" x14ac:dyDescent="0.3">
      <c r="A227" t="s">
        <v>708</v>
      </c>
      <c r="B227" t="s">
        <v>709</v>
      </c>
      <c r="C227" t="s">
        <v>37</v>
      </c>
      <c r="D227" t="s">
        <v>33</v>
      </c>
      <c r="E227" t="s">
        <v>45</v>
      </c>
      <c r="F227" t="s">
        <v>710</v>
      </c>
      <c r="G227" t="str">
        <f>TEXT(Table1_1[[#This Row],[Joining_Date]],"mmm")</f>
        <v>Apr</v>
      </c>
      <c r="H227" t="str">
        <f>TEXT(Table1_1[[#This Row],[Joining_Date]],"yyyy")</f>
        <v>2021</v>
      </c>
      <c r="I227" s="1">
        <v>45221</v>
      </c>
      <c r="J227" t="s">
        <v>18</v>
      </c>
      <c r="K227">
        <f>IF(Table1_1[[#This Row],[Status]]="Exited",1,0)</f>
        <v>1</v>
      </c>
      <c r="L227">
        <f>IF(Table1_1[[#This Row],[Status]]="Exited",0,1)</f>
        <v>0</v>
      </c>
      <c r="M227">
        <v>851453</v>
      </c>
      <c r="N227">
        <v>4.2</v>
      </c>
      <c r="O227" t="s">
        <v>42</v>
      </c>
      <c r="P227">
        <v>89.5</v>
      </c>
      <c r="Q227" t="str">
        <f t="shared" si="3"/>
        <v>High</v>
      </c>
    </row>
    <row r="228" spans="1:24" x14ac:dyDescent="0.3">
      <c r="A228" t="s">
        <v>711</v>
      </c>
      <c r="B228" t="s">
        <v>712</v>
      </c>
      <c r="C228" t="s">
        <v>54</v>
      </c>
      <c r="D228" t="s">
        <v>33</v>
      </c>
      <c r="E228" t="s">
        <v>50</v>
      </c>
      <c r="F228" t="s">
        <v>713</v>
      </c>
      <c r="G228" t="str">
        <f>TEXT(Table1_1[[#This Row],[Joining_Date]],"mmm")</f>
        <v>Jun</v>
      </c>
      <c r="H228" t="str">
        <f>TEXT(Table1_1[[#This Row],[Joining_Date]],"yyyy")</f>
        <v>2020</v>
      </c>
      <c r="I228" s="1">
        <v>45042</v>
      </c>
      <c r="J228" t="s">
        <v>18</v>
      </c>
      <c r="K228">
        <f>IF(Table1_1[[#This Row],[Status]]="Exited",1,0)</f>
        <v>1</v>
      </c>
      <c r="L228">
        <f>IF(Table1_1[[#This Row],[Status]]="Exited",0,1)</f>
        <v>0</v>
      </c>
      <c r="M228">
        <v>381676</v>
      </c>
      <c r="N228">
        <v>3.3</v>
      </c>
      <c r="O228" t="s">
        <v>19</v>
      </c>
      <c r="P228">
        <v>82.4</v>
      </c>
      <c r="Q228" t="str">
        <f t="shared" si="3"/>
        <v>Low</v>
      </c>
    </row>
    <row r="229" spans="1:24" x14ac:dyDescent="0.3">
      <c r="A229" t="s">
        <v>714</v>
      </c>
      <c r="B229" t="s">
        <v>715</v>
      </c>
      <c r="C229" t="s">
        <v>54</v>
      </c>
      <c r="D229" t="s">
        <v>33</v>
      </c>
      <c r="E229" t="s">
        <v>27</v>
      </c>
      <c r="F229" t="s">
        <v>716</v>
      </c>
      <c r="G229" t="str">
        <f>TEXT(Table1_1[[#This Row],[Joining_Date]],"mmm")</f>
        <v>Apr</v>
      </c>
      <c r="H229" t="str">
        <f>TEXT(Table1_1[[#This Row],[Joining_Date]],"yyyy")</f>
        <v>2018</v>
      </c>
      <c r="I229" s="1"/>
      <c r="J229" t="s">
        <v>29</v>
      </c>
      <c r="K229">
        <f>IF(Table1_1[[#This Row],[Status]]="Exited",1,0)</f>
        <v>0</v>
      </c>
      <c r="L229">
        <f>IF(Table1_1[[#This Row],[Status]]="Exited",0,1)</f>
        <v>1</v>
      </c>
      <c r="M229">
        <v>327195</v>
      </c>
      <c r="N229">
        <v>3.7</v>
      </c>
      <c r="O229" t="s">
        <v>30</v>
      </c>
      <c r="P229">
        <v>95</v>
      </c>
      <c r="Q229" t="str">
        <f t="shared" si="3"/>
        <v>Low</v>
      </c>
    </row>
    <row r="230" spans="1:24" x14ac:dyDescent="0.3">
      <c r="A230" t="s">
        <v>717</v>
      </c>
      <c r="B230" t="s">
        <v>718</v>
      </c>
      <c r="C230" t="s">
        <v>14</v>
      </c>
      <c r="D230" t="s">
        <v>10</v>
      </c>
      <c r="E230" t="s">
        <v>45</v>
      </c>
      <c r="F230" t="s">
        <v>719</v>
      </c>
      <c r="G230" t="str">
        <f>TEXT(Table1_1[[#This Row],[Joining_Date]],"mmm")</f>
        <v>Nov</v>
      </c>
      <c r="H230" t="str">
        <f>TEXT(Table1_1[[#This Row],[Joining_Date]],"yyyy")</f>
        <v>2021</v>
      </c>
      <c r="I230" s="1"/>
      <c r="J230" t="s">
        <v>29</v>
      </c>
      <c r="K230">
        <f>IF(Table1_1[[#This Row],[Status]]="Exited",1,0)</f>
        <v>0</v>
      </c>
      <c r="L230">
        <f>IF(Table1_1[[#This Row],[Status]]="Exited",0,1)</f>
        <v>1</v>
      </c>
      <c r="M230">
        <v>768310</v>
      </c>
      <c r="N230">
        <v>4.8</v>
      </c>
      <c r="O230" t="s">
        <v>30</v>
      </c>
      <c r="P230">
        <v>100</v>
      </c>
      <c r="Q230" t="str">
        <f t="shared" si="3"/>
        <v>High</v>
      </c>
    </row>
    <row r="231" spans="1:24" x14ac:dyDescent="0.3">
      <c r="A231" t="s">
        <v>720</v>
      </c>
      <c r="B231" t="s">
        <v>721</v>
      </c>
      <c r="C231" t="s">
        <v>61</v>
      </c>
      <c r="D231" t="s">
        <v>15</v>
      </c>
      <c r="E231" t="s">
        <v>16</v>
      </c>
      <c r="F231" t="s">
        <v>722</v>
      </c>
      <c r="G231" t="str">
        <f>TEXT(Table1_1[[#This Row],[Joining_Date]],"mmm")</f>
        <v>Dec</v>
      </c>
      <c r="H231" t="str">
        <f>TEXT(Table1_1[[#This Row],[Joining_Date]],"yyyy")</f>
        <v>2024</v>
      </c>
      <c r="I231" s="1">
        <v>47093</v>
      </c>
      <c r="J231" t="s">
        <v>18</v>
      </c>
      <c r="K231">
        <f>IF(Table1_1[[#This Row],[Status]]="Exited",1,0)</f>
        <v>1</v>
      </c>
      <c r="L231">
        <f>IF(Table1_1[[#This Row],[Status]]="Exited",0,1)</f>
        <v>0</v>
      </c>
      <c r="M231">
        <v>213589</v>
      </c>
      <c r="N231">
        <v>4</v>
      </c>
      <c r="O231" t="s">
        <v>24</v>
      </c>
      <c r="P231">
        <v>79.3</v>
      </c>
      <c r="Q231" t="str">
        <f t="shared" si="3"/>
        <v>Low</v>
      </c>
    </row>
    <row r="232" spans="1:24" x14ac:dyDescent="0.3">
      <c r="A232" t="s">
        <v>723</v>
      </c>
      <c r="B232" t="s">
        <v>724</v>
      </c>
      <c r="C232" t="s">
        <v>14</v>
      </c>
      <c r="D232" t="s">
        <v>49</v>
      </c>
      <c r="E232" t="s">
        <v>27</v>
      </c>
      <c r="F232" t="s">
        <v>725</v>
      </c>
      <c r="G232" t="str">
        <f>TEXT(Table1_1[[#This Row],[Joining_Date]],"mmm")</f>
        <v>Nov</v>
      </c>
      <c r="H232" t="str">
        <f>TEXT(Table1_1[[#This Row],[Joining_Date]],"yyyy")</f>
        <v>2024</v>
      </c>
      <c r="I232" s="1">
        <v>45764</v>
      </c>
      <c r="J232" t="s">
        <v>18</v>
      </c>
      <c r="K232">
        <f>IF(Table1_1[[#This Row],[Status]]="Exited",1,0)</f>
        <v>1</v>
      </c>
      <c r="L232">
        <f>IF(Table1_1[[#This Row],[Status]]="Exited",0,1)</f>
        <v>0</v>
      </c>
      <c r="M232">
        <v>666108</v>
      </c>
      <c r="N232">
        <v>3.1</v>
      </c>
      <c r="O232" t="s">
        <v>42</v>
      </c>
      <c r="P232">
        <v>96.9</v>
      </c>
      <c r="Q232" t="str">
        <f t="shared" si="3"/>
        <v>Low</v>
      </c>
    </row>
    <row r="233" spans="1:24" x14ac:dyDescent="0.3">
      <c r="A233" t="s">
        <v>726</v>
      </c>
      <c r="B233" t="s">
        <v>727</v>
      </c>
      <c r="C233" t="s">
        <v>22</v>
      </c>
      <c r="D233" t="s">
        <v>49</v>
      </c>
      <c r="E233" t="s">
        <v>45</v>
      </c>
      <c r="F233" t="s">
        <v>728</v>
      </c>
      <c r="G233" t="str">
        <f>TEXT(Table1_1[[#This Row],[Joining_Date]],"mmm")</f>
        <v>Mar</v>
      </c>
      <c r="H233" t="str">
        <f>TEXT(Table1_1[[#This Row],[Joining_Date]],"yyyy")</f>
        <v>2022</v>
      </c>
      <c r="I233" s="1">
        <v>44732</v>
      </c>
      <c r="J233" t="s">
        <v>18</v>
      </c>
      <c r="K233">
        <f>IF(Table1_1[[#This Row],[Status]]="Exited",1,0)</f>
        <v>1</v>
      </c>
      <c r="L233">
        <f>IF(Table1_1[[#This Row],[Status]]="Exited",0,1)</f>
        <v>0</v>
      </c>
      <c r="M233">
        <v>399659</v>
      </c>
      <c r="N233">
        <v>4.7</v>
      </c>
      <c r="O233" t="s">
        <v>30</v>
      </c>
      <c r="P233">
        <v>81.599999999999994</v>
      </c>
      <c r="Q233" t="str">
        <f t="shared" si="3"/>
        <v>High</v>
      </c>
    </row>
    <row r="234" spans="1:24" x14ac:dyDescent="0.3">
      <c r="A234" t="s">
        <v>729</v>
      </c>
      <c r="B234" t="s">
        <v>730</v>
      </c>
      <c r="C234" t="s">
        <v>37</v>
      </c>
      <c r="D234" t="s">
        <v>10</v>
      </c>
      <c r="E234" t="s">
        <v>16</v>
      </c>
      <c r="F234" t="s">
        <v>731</v>
      </c>
      <c r="G234" t="str">
        <f>TEXT(Table1_1[[#This Row],[Joining_Date]],"mmm")</f>
        <v>Oct</v>
      </c>
      <c r="H234" t="str">
        <f>TEXT(Table1_1[[#This Row],[Joining_Date]],"yyyy")</f>
        <v>2018</v>
      </c>
      <c r="I234" s="1">
        <v>44393</v>
      </c>
      <c r="J234" t="s">
        <v>18</v>
      </c>
      <c r="K234">
        <f>IF(Table1_1[[#This Row],[Status]]="Exited",1,0)</f>
        <v>1</v>
      </c>
      <c r="L234">
        <f>IF(Table1_1[[#This Row],[Status]]="Exited",0,1)</f>
        <v>0</v>
      </c>
      <c r="M234">
        <v>840363</v>
      </c>
      <c r="N234">
        <v>3.9</v>
      </c>
      <c r="O234" t="s">
        <v>42</v>
      </c>
      <c r="P234">
        <v>87.7</v>
      </c>
      <c r="Q234" t="str">
        <f t="shared" si="3"/>
        <v>Low</v>
      </c>
    </row>
    <row r="235" spans="1:24" x14ac:dyDescent="0.3">
      <c r="A235" t="s">
        <v>732</v>
      </c>
      <c r="B235" t="s">
        <v>733</v>
      </c>
      <c r="C235" t="s">
        <v>22</v>
      </c>
      <c r="D235" t="s">
        <v>10</v>
      </c>
      <c r="E235" t="s">
        <v>50</v>
      </c>
      <c r="F235" t="s">
        <v>734</v>
      </c>
      <c r="G235" t="str">
        <f>TEXT(Table1_1[[#This Row],[Joining_Date]],"mmm")</f>
        <v>Feb</v>
      </c>
      <c r="H235" t="str">
        <f>TEXT(Table1_1[[#This Row],[Joining_Date]],"yyyy")</f>
        <v>2024</v>
      </c>
      <c r="I235" s="1">
        <v>46628</v>
      </c>
      <c r="J235" t="s">
        <v>18</v>
      </c>
      <c r="K235">
        <f>IF(Table1_1[[#This Row],[Status]]="Exited",1,0)</f>
        <v>1</v>
      </c>
      <c r="L235">
        <f>IF(Table1_1[[#This Row],[Status]]="Exited",0,1)</f>
        <v>0</v>
      </c>
      <c r="M235">
        <v>717044</v>
      </c>
      <c r="N235">
        <v>4.5</v>
      </c>
      <c r="O235" t="s">
        <v>24</v>
      </c>
      <c r="P235">
        <v>94.4</v>
      </c>
      <c r="Q235" t="str">
        <f t="shared" si="3"/>
        <v>High</v>
      </c>
    </row>
    <row r="236" spans="1:24" x14ac:dyDescent="0.3">
      <c r="A236" t="s">
        <v>735</v>
      </c>
      <c r="B236" t="s">
        <v>736</v>
      </c>
      <c r="C236" t="s">
        <v>54</v>
      </c>
      <c r="D236" t="s">
        <v>49</v>
      </c>
      <c r="E236" t="s">
        <v>16</v>
      </c>
      <c r="F236" t="s">
        <v>737</v>
      </c>
      <c r="G236" t="str">
        <f>TEXT(Table1_1[[#This Row],[Joining_Date]],"mmm")</f>
        <v>Jun</v>
      </c>
      <c r="H236" t="str">
        <f>TEXT(Table1_1[[#This Row],[Joining_Date]],"yyyy")</f>
        <v>2023</v>
      </c>
      <c r="I236" s="1"/>
      <c r="J236" t="s">
        <v>29</v>
      </c>
      <c r="K236">
        <f>IF(Table1_1[[#This Row],[Status]]="Exited",1,0)</f>
        <v>0</v>
      </c>
      <c r="L236">
        <f>IF(Table1_1[[#This Row],[Status]]="Exited",0,1)</f>
        <v>1</v>
      </c>
      <c r="M236">
        <v>821516</v>
      </c>
      <c r="N236">
        <v>2.9</v>
      </c>
      <c r="O236" t="s">
        <v>19</v>
      </c>
      <c r="P236">
        <v>97.7</v>
      </c>
      <c r="Q236" t="str">
        <f t="shared" si="3"/>
        <v>Low</v>
      </c>
    </row>
    <row r="237" spans="1:24" x14ac:dyDescent="0.3">
      <c r="A237" t="s">
        <v>738</v>
      </c>
      <c r="B237" t="s">
        <v>739</v>
      </c>
      <c r="C237" t="s">
        <v>22</v>
      </c>
      <c r="D237" t="s">
        <v>15</v>
      </c>
      <c r="E237" t="s">
        <v>16</v>
      </c>
      <c r="F237" t="s">
        <v>740</v>
      </c>
      <c r="G237" t="str">
        <f>TEXT(Table1_1[[#This Row],[Joining_Date]],"mmm")</f>
        <v>Aug</v>
      </c>
      <c r="H237" t="str">
        <f>TEXT(Table1_1[[#This Row],[Joining_Date]],"yyyy")</f>
        <v>2019</v>
      </c>
      <c r="I237" s="1">
        <v>44098</v>
      </c>
      <c r="J237" t="s">
        <v>18</v>
      </c>
      <c r="K237">
        <f>IF(Table1_1[[#This Row],[Status]]="Exited",1,0)</f>
        <v>1</v>
      </c>
      <c r="L237">
        <f>IF(Table1_1[[#This Row],[Status]]="Exited",0,1)</f>
        <v>0</v>
      </c>
      <c r="M237">
        <v>1147312</v>
      </c>
      <c r="N237">
        <v>2.1</v>
      </c>
      <c r="O237" t="s">
        <v>42</v>
      </c>
      <c r="P237">
        <v>78.400000000000006</v>
      </c>
      <c r="Q237" t="str">
        <f t="shared" si="3"/>
        <v>Low</v>
      </c>
    </row>
    <row r="238" spans="1:24" x14ac:dyDescent="0.3">
      <c r="A238" t="s">
        <v>741</v>
      </c>
      <c r="B238" t="s">
        <v>742</v>
      </c>
      <c r="C238" t="s">
        <v>22</v>
      </c>
      <c r="D238" t="s">
        <v>49</v>
      </c>
      <c r="E238" t="s">
        <v>45</v>
      </c>
      <c r="F238" t="s">
        <v>743</v>
      </c>
      <c r="G238" t="str">
        <f>TEXT(Table1_1[[#This Row],[Joining_Date]],"mmm")</f>
        <v>Dec</v>
      </c>
      <c r="H238" t="str">
        <f>TEXT(Table1_1[[#This Row],[Joining_Date]],"yyyy")</f>
        <v>2022</v>
      </c>
      <c r="I238" s="1"/>
      <c r="J238" t="s">
        <v>29</v>
      </c>
      <c r="K238">
        <f>IF(Table1_1[[#This Row],[Status]]="Exited",1,0)</f>
        <v>0</v>
      </c>
      <c r="L238">
        <f>IF(Table1_1[[#This Row],[Status]]="Exited",0,1)</f>
        <v>1</v>
      </c>
      <c r="M238">
        <v>1155819</v>
      </c>
      <c r="N238">
        <v>4.2</v>
      </c>
      <c r="O238" t="s">
        <v>19</v>
      </c>
      <c r="P238">
        <v>78.400000000000006</v>
      </c>
      <c r="Q238" t="str">
        <f t="shared" si="3"/>
        <v>High</v>
      </c>
    </row>
    <row r="239" spans="1:24" x14ac:dyDescent="0.3">
      <c r="A239" t="s">
        <v>744</v>
      </c>
      <c r="B239" t="s">
        <v>745</v>
      </c>
      <c r="C239" t="s">
        <v>37</v>
      </c>
      <c r="D239" t="s">
        <v>33</v>
      </c>
      <c r="E239" t="s">
        <v>50</v>
      </c>
      <c r="F239" t="s">
        <v>746</v>
      </c>
      <c r="G239" t="str">
        <f>TEXT(Table1_1[[#This Row],[Joining_Date]],"mmm")</f>
        <v>Oct</v>
      </c>
      <c r="H239" t="str">
        <f>TEXT(Table1_1[[#This Row],[Joining_Date]],"yyyy")</f>
        <v>2022</v>
      </c>
      <c r="I239" s="1">
        <v>45583</v>
      </c>
      <c r="J239" t="s">
        <v>18</v>
      </c>
      <c r="K239">
        <f>IF(Table1_1[[#This Row],[Status]]="Exited",1,0)</f>
        <v>1</v>
      </c>
      <c r="L239">
        <f>IF(Table1_1[[#This Row],[Status]]="Exited",0,1)</f>
        <v>0</v>
      </c>
      <c r="M239">
        <v>400006</v>
      </c>
      <c r="N239">
        <v>4.3</v>
      </c>
      <c r="O239" t="s">
        <v>24</v>
      </c>
      <c r="P239">
        <v>79.5</v>
      </c>
      <c r="Q239" t="str">
        <f t="shared" si="3"/>
        <v>High</v>
      </c>
    </row>
    <row r="240" spans="1:24" x14ac:dyDescent="0.3">
      <c r="A240" t="s">
        <v>747</v>
      </c>
      <c r="B240" t="s">
        <v>748</v>
      </c>
      <c r="C240" t="s">
        <v>14</v>
      </c>
      <c r="D240" t="s">
        <v>33</v>
      </c>
      <c r="E240" t="s">
        <v>45</v>
      </c>
      <c r="F240" t="s">
        <v>384</v>
      </c>
      <c r="G240" t="str">
        <f>TEXT(Table1_1[[#This Row],[Joining_Date]],"mmm")</f>
        <v>Nov</v>
      </c>
      <c r="H240" t="str">
        <f>TEXT(Table1_1[[#This Row],[Joining_Date]],"yyyy")</f>
        <v>2019</v>
      </c>
      <c r="I240" s="1">
        <v>44303</v>
      </c>
      <c r="J240" t="s">
        <v>18</v>
      </c>
      <c r="K240">
        <f>IF(Table1_1[[#This Row],[Status]]="Exited",1,0)</f>
        <v>1</v>
      </c>
      <c r="L240">
        <f>IF(Table1_1[[#This Row],[Status]]="Exited",0,1)</f>
        <v>0</v>
      </c>
      <c r="M240">
        <v>413837</v>
      </c>
      <c r="N240">
        <v>3.4</v>
      </c>
      <c r="O240" t="s">
        <v>19</v>
      </c>
      <c r="P240">
        <v>75.8</v>
      </c>
      <c r="Q240" t="str">
        <f t="shared" si="3"/>
        <v>Low</v>
      </c>
    </row>
    <row r="241" spans="1:17" x14ac:dyDescent="0.3">
      <c r="A241" t="s">
        <v>749</v>
      </c>
      <c r="B241" t="s">
        <v>750</v>
      </c>
      <c r="C241" t="s">
        <v>14</v>
      </c>
      <c r="D241" t="s">
        <v>33</v>
      </c>
      <c r="E241" t="s">
        <v>50</v>
      </c>
      <c r="F241" t="s">
        <v>751</v>
      </c>
      <c r="G241" t="str">
        <f>TEXT(Table1_1[[#This Row],[Joining_Date]],"mmm")</f>
        <v>Oct</v>
      </c>
      <c r="H241" t="str">
        <f>TEXT(Table1_1[[#This Row],[Joining_Date]],"yyyy")</f>
        <v>2018</v>
      </c>
      <c r="I241" s="1"/>
      <c r="J241" t="s">
        <v>29</v>
      </c>
      <c r="K241">
        <f>IF(Table1_1[[#This Row],[Status]]="Exited",1,0)</f>
        <v>0</v>
      </c>
      <c r="L241">
        <f>IF(Table1_1[[#This Row],[Status]]="Exited",0,1)</f>
        <v>1</v>
      </c>
      <c r="M241">
        <v>330323</v>
      </c>
      <c r="N241">
        <v>3.6</v>
      </c>
      <c r="O241" t="s">
        <v>30</v>
      </c>
      <c r="P241">
        <v>75.099999999999994</v>
      </c>
      <c r="Q241" t="str">
        <f t="shared" si="3"/>
        <v>Low</v>
      </c>
    </row>
    <row r="242" spans="1:17" x14ac:dyDescent="0.3">
      <c r="A242" t="s">
        <v>752</v>
      </c>
      <c r="B242" t="s">
        <v>753</v>
      </c>
      <c r="C242" t="s">
        <v>22</v>
      </c>
      <c r="D242" t="s">
        <v>33</v>
      </c>
      <c r="E242" t="s">
        <v>45</v>
      </c>
      <c r="F242" t="s">
        <v>754</v>
      </c>
      <c r="G242" t="str">
        <f>TEXT(Table1_1[[#This Row],[Joining_Date]],"mmm")</f>
        <v>Sep</v>
      </c>
      <c r="H242" t="str">
        <f>TEXT(Table1_1[[#This Row],[Joining_Date]],"yyyy")</f>
        <v>2021</v>
      </c>
      <c r="I242" s="1"/>
      <c r="J242" t="s">
        <v>29</v>
      </c>
      <c r="K242">
        <f>IF(Table1_1[[#This Row],[Status]]="Exited",1,0)</f>
        <v>0</v>
      </c>
      <c r="L242">
        <f>IF(Table1_1[[#This Row],[Status]]="Exited",0,1)</f>
        <v>1</v>
      </c>
      <c r="M242">
        <v>1180475</v>
      </c>
      <c r="N242">
        <v>2.2000000000000002</v>
      </c>
      <c r="O242" t="s">
        <v>42</v>
      </c>
      <c r="P242">
        <v>76.900000000000006</v>
      </c>
      <c r="Q242" t="str">
        <f t="shared" si="3"/>
        <v>Low</v>
      </c>
    </row>
    <row r="243" spans="1:17" x14ac:dyDescent="0.3">
      <c r="A243" t="s">
        <v>755</v>
      </c>
      <c r="B243" t="s">
        <v>756</v>
      </c>
      <c r="C243" t="s">
        <v>37</v>
      </c>
      <c r="D243" t="s">
        <v>10</v>
      </c>
      <c r="E243" t="s">
        <v>27</v>
      </c>
      <c r="F243" t="s">
        <v>757</v>
      </c>
      <c r="G243" t="str">
        <f>TEXT(Table1_1[[#This Row],[Joining_Date]],"mmm")</f>
        <v>Oct</v>
      </c>
      <c r="H243" t="str">
        <f>TEXT(Table1_1[[#This Row],[Joining_Date]],"yyyy")</f>
        <v>2018</v>
      </c>
      <c r="I243" s="1"/>
      <c r="J243" t="s">
        <v>29</v>
      </c>
      <c r="K243">
        <f>IF(Table1_1[[#This Row],[Status]]="Exited",1,0)</f>
        <v>0</v>
      </c>
      <c r="L243">
        <f>IF(Table1_1[[#This Row],[Status]]="Exited",0,1)</f>
        <v>1</v>
      </c>
      <c r="M243">
        <v>842028</v>
      </c>
      <c r="N243">
        <v>2.8</v>
      </c>
      <c r="O243" t="s">
        <v>24</v>
      </c>
      <c r="P243">
        <v>96.9</v>
      </c>
      <c r="Q243" t="str">
        <f t="shared" si="3"/>
        <v>Low</v>
      </c>
    </row>
    <row r="244" spans="1:17" x14ac:dyDescent="0.3">
      <c r="A244" t="s">
        <v>758</v>
      </c>
      <c r="B244" t="s">
        <v>759</v>
      </c>
      <c r="C244" t="s">
        <v>22</v>
      </c>
      <c r="D244" t="s">
        <v>15</v>
      </c>
      <c r="E244" t="s">
        <v>16</v>
      </c>
      <c r="F244" t="s">
        <v>760</v>
      </c>
      <c r="G244" t="str">
        <f>TEXT(Table1_1[[#This Row],[Joining_Date]],"mmm")</f>
        <v>Jun</v>
      </c>
      <c r="H244" t="str">
        <f>TEXT(Table1_1[[#This Row],[Joining_Date]],"yyyy")</f>
        <v>2023</v>
      </c>
      <c r="I244" s="1">
        <v>45526</v>
      </c>
      <c r="J244" t="s">
        <v>18</v>
      </c>
      <c r="K244">
        <f>IF(Table1_1[[#This Row],[Status]]="Exited",1,0)</f>
        <v>1</v>
      </c>
      <c r="L244">
        <f>IF(Table1_1[[#This Row],[Status]]="Exited",0,1)</f>
        <v>0</v>
      </c>
      <c r="M244">
        <v>790246</v>
      </c>
      <c r="N244">
        <v>3.4</v>
      </c>
      <c r="O244" t="s">
        <v>19</v>
      </c>
      <c r="P244">
        <v>77.099999999999994</v>
      </c>
      <c r="Q244" t="str">
        <f t="shared" si="3"/>
        <v>Low</v>
      </c>
    </row>
    <row r="245" spans="1:17" x14ac:dyDescent="0.3">
      <c r="A245" t="s">
        <v>762</v>
      </c>
      <c r="B245" t="s">
        <v>763</v>
      </c>
      <c r="C245" t="s">
        <v>61</v>
      </c>
      <c r="D245" t="s">
        <v>10</v>
      </c>
      <c r="E245" t="s">
        <v>27</v>
      </c>
      <c r="F245" t="s">
        <v>764</v>
      </c>
      <c r="G245" t="str">
        <f>TEXT(Table1_1[[#This Row],[Joining_Date]],"mmm")</f>
        <v>Nov</v>
      </c>
      <c r="H245" t="str">
        <f>TEXT(Table1_1[[#This Row],[Joining_Date]],"yyyy")</f>
        <v>2023</v>
      </c>
      <c r="I245" s="1"/>
      <c r="J245" t="s">
        <v>29</v>
      </c>
      <c r="K245">
        <f>IF(Table1_1[[#This Row],[Status]]="Exited",1,0)</f>
        <v>0</v>
      </c>
      <c r="L245">
        <f>IF(Table1_1[[#This Row],[Status]]="Exited",0,1)</f>
        <v>1</v>
      </c>
      <c r="M245">
        <v>892381</v>
      </c>
      <c r="N245">
        <v>2.2000000000000002</v>
      </c>
      <c r="O245" t="s">
        <v>30</v>
      </c>
      <c r="P245">
        <v>90.3</v>
      </c>
      <c r="Q245" t="str">
        <f t="shared" si="3"/>
        <v>Low</v>
      </c>
    </row>
    <row r="246" spans="1:17" x14ac:dyDescent="0.3">
      <c r="A246" t="s">
        <v>765</v>
      </c>
      <c r="B246" t="s">
        <v>766</v>
      </c>
      <c r="C246" t="s">
        <v>22</v>
      </c>
      <c r="D246" t="s">
        <v>15</v>
      </c>
      <c r="E246" t="s">
        <v>45</v>
      </c>
      <c r="F246" t="s">
        <v>305</v>
      </c>
      <c r="G246" t="str">
        <f>TEXT(Table1_1[[#This Row],[Joining_Date]],"mmm")</f>
        <v>Nov</v>
      </c>
      <c r="H246" t="str">
        <f>TEXT(Table1_1[[#This Row],[Joining_Date]],"yyyy")</f>
        <v>2020</v>
      </c>
      <c r="I246" s="1"/>
      <c r="J246" t="s">
        <v>29</v>
      </c>
      <c r="K246">
        <f>IF(Table1_1[[#This Row],[Status]]="Exited",1,0)</f>
        <v>0</v>
      </c>
      <c r="L246">
        <f>IF(Table1_1[[#This Row],[Status]]="Exited",0,1)</f>
        <v>1</v>
      </c>
      <c r="M246">
        <v>676159</v>
      </c>
      <c r="N246">
        <v>2</v>
      </c>
      <c r="O246" t="s">
        <v>24</v>
      </c>
      <c r="P246">
        <v>89.4</v>
      </c>
      <c r="Q246" t="str">
        <f t="shared" si="3"/>
        <v>Low</v>
      </c>
    </row>
    <row r="247" spans="1:17" x14ac:dyDescent="0.3">
      <c r="A247" t="s">
        <v>767</v>
      </c>
      <c r="B247" t="s">
        <v>768</v>
      </c>
      <c r="C247" t="s">
        <v>37</v>
      </c>
      <c r="D247" t="s">
        <v>49</v>
      </c>
      <c r="E247" t="s">
        <v>50</v>
      </c>
      <c r="F247" t="s">
        <v>769</v>
      </c>
      <c r="G247" t="str">
        <f>TEXT(Table1_1[[#This Row],[Joining_Date]],"mmm")</f>
        <v>Jul</v>
      </c>
      <c r="H247" t="str">
        <f>TEXT(Table1_1[[#This Row],[Joining_Date]],"yyyy")</f>
        <v>2018</v>
      </c>
      <c r="I247" s="1"/>
      <c r="J247" t="s">
        <v>29</v>
      </c>
      <c r="K247">
        <f>IF(Table1_1[[#This Row],[Status]]="Exited",1,0)</f>
        <v>0</v>
      </c>
      <c r="L247">
        <f>IF(Table1_1[[#This Row],[Status]]="Exited",0,1)</f>
        <v>1</v>
      </c>
      <c r="M247">
        <v>351109</v>
      </c>
      <c r="N247">
        <v>2.9</v>
      </c>
      <c r="O247" t="s">
        <v>30</v>
      </c>
      <c r="P247">
        <v>81.8</v>
      </c>
      <c r="Q247" t="str">
        <f t="shared" si="3"/>
        <v>Low</v>
      </c>
    </row>
    <row r="248" spans="1:17" x14ac:dyDescent="0.3">
      <c r="A248" t="s">
        <v>770</v>
      </c>
      <c r="B248" t="s">
        <v>771</v>
      </c>
      <c r="C248" t="s">
        <v>61</v>
      </c>
      <c r="D248" t="s">
        <v>15</v>
      </c>
      <c r="E248" t="s">
        <v>50</v>
      </c>
      <c r="F248" t="s">
        <v>17</v>
      </c>
      <c r="G248" t="str">
        <f>TEXT(Table1_1[[#This Row],[Joining_Date]],"mmm")</f>
        <v>Apr</v>
      </c>
      <c r="H248" t="str">
        <f>TEXT(Table1_1[[#This Row],[Joining_Date]],"yyyy")</f>
        <v>2018</v>
      </c>
      <c r="I248" s="1"/>
      <c r="J248" t="s">
        <v>29</v>
      </c>
      <c r="K248">
        <f>IF(Table1_1[[#This Row],[Status]]="Exited",1,0)</f>
        <v>0</v>
      </c>
      <c r="L248">
        <f>IF(Table1_1[[#This Row],[Status]]="Exited",0,1)</f>
        <v>1</v>
      </c>
      <c r="M248">
        <v>814279</v>
      </c>
      <c r="N248">
        <v>2.1</v>
      </c>
      <c r="O248" t="s">
        <v>19</v>
      </c>
      <c r="P248">
        <v>84.3</v>
      </c>
      <c r="Q248" t="str">
        <f t="shared" si="3"/>
        <v>Low</v>
      </c>
    </row>
    <row r="249" spans="1:17" x14ac:dyDescent="0.3">
      <c r="A249" t="s">
        <v>772</v>
      </c>
      <c r="B249" t="s">
        <v>773</v>
      </c>
      <c r="C249" t="s">
        <v>61</v>
      </c>
      <c r="D249" t="s">
        <v>49</v>
      </c>
      <c r="E249" t="s">
        <v>16</v>
      </c>
      <c r="F249" t="s">
        <v>774</v>
      </c>
      <c r="G249" t="str">
        <f>TEXT(Table1_1[[#This Row],[Joining_Date]],"mmm")</f>
        <v>Mar</v>
      </c>
      <c r="H249" t="str">
        <f>TEXT(Table1_1[[#This Row],[Joining_Date]],"yyyy")</f>
        <v>2020</v>
      </c>
      <c r="I249" s="1">
        <v>45280</v>
      </c>
      <c r="J249" t="s">
        <v>18</v>
      </c>
      <c r="K249">
        <f>IF(Table1_1[[#This Row],[Status]]="Exited",1,0)</f>
        <v>1</v>
      </c>
      <c r="L249">
        <f>IF(Table1_1[[#This Row],[Status]]="Exited",0,1)</f>
        <v>0</v>
      </c>
      <c r="M249">
        <v>880447</v>
      </c>
      <c r="N249">
        <v>2.6</v>
      </c>
      <c r="O249" t="s">
        <v>19</v>
      </c>
      <c r="P249">
        <v>95.5</v>
      </c>
      <c r="Q249" t="str">
        <f t="shared" si="3"/>
        <v>Low</v>
      </c>
    </row>
    <row r="250" spans="1:17" x14ac:dyDescent="0.3">
      <c r="A250" t="s">
        <v>775</v>
      </c>
      <c r="B250" t="s">
        <v>776</v>
      </c>
      <c r="C250" t="s">
        <v>22</v>
      </c>
      <c r="D250" t="s">
        <v>15</v>
      </c>
      <c r="E250" t="s">
        <v>16</v>
      </c>
      <c r="F250" t="s">
        <v>777</v>
      </c>
      <c r="G250" t="str">
        <f>TEXT(Table1_1[[#This Row],[Joining_Date]],"mmm")</f>
        <v>May</v>
      </c>
      <c r="H250" t="str">
        <f>TEXT(Table1_1[[#This Row],[Joining_Date]],"yyyy")</f>
        <v>2024</v>
      </c>
      <c r="I250" s="1"/>
      <c r="J250" t="s">
        <v>29</v>
      </c>
      <c r="K250">
        <f>IF(Table1_1[[#This Row],[Status]]="Exited",1,0)</f>
        <v>0</v>
      </c>
      <c r="L250">
        <f>IF(Table1_1[[#This Row],[Status]]="Exited",0,1)</f>
        <v>1</v>
      </c>
      <c r="M250">
        <v>358190</v>
      </c>
      <c r="N250">
        <v>3</v>
      </c>
      <c r="O250" t="s">
        <v>30</v>
      </c>
      <c r="P250">
        <v>91.1</v>
      </c>
      <c r="Q250" t="str">
        <f t="shared" si="3"/>
        <v>Low</v>
      </c>
    </row>
    <row r="251" spans="1:17" x14ac:dyDescent="0.3">
      <c r="A251" t="s">
        <v>778</v>
      </c>
      <c r="B251" t="s">
        <v>779</v>
      </c>
      <c r="C251" t="s">
        <v>22</v>
      </c>
      <c r="D251" t="s">
        <v>15</v>
      </c>
      <c r="E251" t="s">
        <v>16</v>
      </c>
      <c r="F251" t="s">
        <v>780</v>
      </c>
      <c r="G251" t="str">
        <f>TEXT(Table1_1[[#This Row],[Joining_Date]],"mmm")</f>
        <v>Jan</v>
      </c>
      <c r="H251" t="str">
        <f>TEXT(Table1_1[[#This Row],[Joining_Date]],"yyyy")</f>
        <v>2024</v>
      </c>
      <c r="I251" s="1"/>
      <c r="J251" t="s">
        <v>29</v>
      </c>
      <c r="K251">
        <f>IF(Table1_1[[#This Row],[Status]]="Exited",1,0)</f>
        <v>0</v>
      </c>
      <c r="L251">
        <f>IF(Table1_1[[#This Row],[Status]]="Exited",0,1)</f>
        <v>1</v>
      </c>
      <c r="M251">
        <v>704035</v>
      </c>
      <c r="N251">
        <v>4.5999999999999996</v>
      </c>
      <c r="O251" t="s">
        <v>30</v>
      </c>
      <c r="P251">
        <v>81.099999999999994</v>
      </c>
      <c r="Q251" t="str">
        <f t="shared" si="3"/>
        <v>High</v>
      </c>
    </row>
    <row r="252" spans="1:17" x14ac:dyDescent="0.3">
      <c r="A252" t="s">
        <v>781</v>
      </c>
      <c r="B252" t="s">
        <v>782</v>
      </c>
      <c r="C252" t="s">
        <v>61</v>
      </c>
      <c r="D252" t="s">
        <v>33</v>
      </c>
      <c r="E252" t="s">
        <v>50</v>
      </c>
      <c r="F252" t="s">
        <v>783</v>
      </c>
      <c r="G252" t="str">
        <f>TEXT(Table1_1[[#This Row],[Joining_Date]],"mmm")</f>
        <v>Jul</v>
      </c>
      <c r="H252" t="str">
        <f>TEXT(Table1_1[[#This Row],[Joining_Date]],"yyyy")</f>
        <v>2018</v>
      </c>
      <c r="I252" s="1"/>
      <c r="J252" t="s">
        <v>29</v>
      </c>
      <c r="K252">
        <f>IF(Table1_1[[#This Row],[Status]]="Exited",1,0)</f>
        <v>0</v>
      </c>
      <c r="L252">
        <f>IF(Table1_1[[#This Row],[Status]]="Exited",0,1)</f>
        <v>1</v>
      </c>
      <c r="M252">
        <v>209212</v>
      </c>
      <c r="N252">
        <v>4.7</v>
      </c>
      <c r="O252" t="s">
        <v>42</v>
      </c>
      <c r="P252">
        <v>85.4</v>
      </c>
      <c r="Q252" t="str">
        <f t="shared" si="3"/>
        <v>High</v>
      </c>
    </row>
    <row r="253" spans="1:17" x14ac:dyDescent="0.3">
      <c r="A253" t="s">
        <v>784</v>
      </c>
      <c r="B253" t="s">
        <v>785</v>
      </c>
      <c r="C253" t="s">
        <v>14</v>
      </c>
      <c r="D253" t="s">
        <v>15</v>
      </c>
      <c r="E253" t="s">
        <v>27</v>
      </c>
      <c r="F253" t="s">
        <v>369</v>
      </c>
      <c r="G253" t="str">
        <f>TEXT(Table1_1[[#This Row],[Joining_Date]],"mmm")</f>
        <v>Mar</v>
      </c>
      <c r="H253" t="str">
        <f>TEXT(Table1_1[[#This Row],[Joining_Date]],"yyyy")</f>
        <v>2023</v>
      </c>
      <c r="I253" s="1">
        <v>45385</v>
      </c>
      <c r="J253" t="s">
        <v>18</v>
      </c>
      <c r="K253">
        <f>IF(Table1_1[[#This Row],[Status]]="Exited",1,0)</f>
        <v>1</v>
      </c>
      <c r="L253">
        <f>IF(Table1_1[[#This Row],[Status]]="Exited",0,1)</f>
        <v>0</v>
      </c>
      <c r="M253">
        <v>753487</v>
      </c>
      <c r="N253">
        <v>3.3</v>
      </c>
      <c r="O253" t="s">
        <v>30</v>
      </c>
      <c r="P253">
        <v>77.3</v>
      </c>
      <c r="Q253" t="str">
        <f t="shared" si="3"/>
        <v>Low</v>
      </c>
    </row>
    <row r="254" spans="1:17" x14ac:dyDescent="0.3">
      <c r="A254" t="s">
        <v>786</v>
      </c>
      <c r="B254" t="s">
        <v>787</v>
      </c>
      <c r="C254" t="s">
        <v>37</v>
      </c>
      <c r="D254" t="s">
        <v>15</v>
      </c>
      <c r="E254" t="s">
        <v>45</v>
      </c>
      <c r="F254" t="s">
        <v>248</v>
      </c>
      <c r="G254" t="str">
        <f>TEXT(Table1_1[[#This Row],[Joining_Date]],"mmm")</f>
        <v>Oct</v>
      </c>
      <c r="H254" t="str">
        <f>TEXT(Table1_1[[#This Row],[Joining_Date]],"yyyy")</f>
        <v>2019</v>
      </c>
      <c r="I254" s="1">
        <v>44774</v>
      </c>
      <c r="J254" t="s">
        <v>18</v>
      </c>
      <c r="K254">
        <f>IF(Table1_1[[#This Row],[Status]]="Exited",1,0)</f>
        <v>1</v>
      </c>
      <c r="L254">
        <f>IF(Table1_1[[#This Row],[Status]]="Exited",0,1)</f>
        <v>0</v>
      </c>
      <c r="M254">
        <v>537670</v>
      </c>
      <c r="N254">
        <v>2.2000000000000002</v>
      </c>
      <c r="O254" t="s">
        <v>19</v>
      </c>
      <c r="P254">
        <v>86.9</v>
      </c>
      <c r="Q254" t="str">
        <f t="shared" si="3"/>
        <v>Low</v>
      </c>
    </row>
    <row r="255" spans="1:17" x14ac:dyDescent="0.3">
      <c r="A255" t="s">
        <v>788</v>
      </c>
      <c r="B255" t="s">
        <v>789</v>
      </c>
      <c r="C255" t="s">
        <v>37</v>
      </c>
      <c r="D255" t="s">
        <v>10</v>
      </c>
      <c r="E255" t="s">
        <v>27</v>
      </c>
      <c r="F255" t="s">
        <v>790</v>
      </c>
      <c r="G255" t="str">
        <f>TEXT(Table1_1[[#This Row],[Joining_Date]],"mmm")</f>
        <v>Sep</v>
      </c>
      <c r="H255" t="str">
        <f>TEXT(Table1_1[[#This Row],[Joining_Date]],"yyyy")</f>
        <v>2023</v>
      </c>
      <c r="I255" s="1">
        <v>46164</v>
      </c>
      <c r="J255" t="s">
        <v>18</v>
      </c>
      <c r="K255">
        <f>IF(Table1_1[[#This Row],[Status]]="Exited",1,0)</f>
        <v>1</v>
      </c>
      <c r="L255">
        <f>IF(Table1_1[[#This Row],[Status]]="Exited",0,1)</f>
        <v>0</v>
      </c>
      <c r="M255">
        <v>769975</v>
      </c>
      <c r="N255">
        <v>4.9000000000000004</v>
      </c>
      <c r="O255" t="s">
        <v>30</v>
      </c>
      <c r="P255">
        <v>89.1</v>
      </c>
      <c r="Q255" t="str">
        <f t="shared" si="3"/>
        <v>High</v>
      </c>
    </row>
    <row r="256" spans="1:17" x14ac:dyDescent="0.3">
      <c r="A256" t="s">
        <v>791</v>
      </c>
      <c r="B256" t="s">
        <v>792</v>
      </c>
      <c r="C256" t="s">
        <v>22</v>
      </c>
      <c r="D256" t="s">
        <v>49</v>
      </c>
      <c r="E256" t="s">
        <v>50</v>
      </c>
      <c r="F256" t="s">
        <v>793</v>
      </c>
      <c r="G256" t="str">
        <f>TEXT(Table1_1[[#This Row],[Joining_Date]],"mmm")</f>
        <v>Apr</v>
      </c>
      <c r="H256" t="str">
        <f>TEXT(Table1_1[[#This Row],[Joining_Date]],"yyyy")</f>
        <v>2023</v>
      </c>
      <c r="I256" s="1"/>
      <c r="J256" t="s">
        <v>29</v>
      </c>
      <c r="K256">
        <f>IF(Table1_1[[#This Row],[Status]]="Exited",1,0)</f>
        <v>0</v>
      </c>
      <c r="L256">
        <f>IF(Table1_1[[#This Row],[Status]]="Exited",0,1)</f>
        <v>1</v>
      </c>
      <c r="M256">
        <v>484752</v>
      </c>
      <c r="N256">
        <v>5</v>
      </c>
      <c r="O256" t="s">
        <v>30</v>
      </c>
      <c r="P256">
        <v>93.7</v>
      </c>
      <c r="Q256" t="str">
        <f t="shared" si="3"/>
        <v>High</v>
      </c>
    </row>
    <row r="257" spans="1:17" x14ac:dyDescent="0.3">
      <c r="A257" t="s">
        <v>794</v>
      </c>
      <c r="B257" t="s">
        <v>795</v>
      </c>
      <c r="C257" t="s">
        <v>37</v>
      </c>
      <c r="D257" t="s">
        <v>49</v>
      </c>
      <c r="E257" t="s">
        <v>45</v>
      </c>
      <c r="F257" t="s">
        <v>190</v>
      </c>
      <c r="G257" t="str">
        <f>TEXT(Table1_1[[#This Row],[Joining_Date]],"mmm")</f>
        <v>Oct</v>
      </c>
      <c r="H257" t="str">
        <f>TEXT(Table1_1[[#This Row],[Joining_Date]],"yyyy")</f>
        <v>2021</v>
      </c>
      <c r="I257" s="1"/>
      <c r="J257" t="s">
        <v>29</v>
      </c>
      <c r="K257">
        <f>IF(Table1_1[[#This Row],[Status]]="Exited",1,0)</f>
        <v>0</v>
      </c>
      <c r="L257">
        <f>IF(Table1_1[[#This Row],[Status]]="Exited",0,1)</f>
        <v>1</v>
      </c>
      <c r="M257">
        <v>577570</v>
      </c>
      <c r="N257">
        <v>3.2</v>
      </c>
      <c r="O257" t="s">
        <v>19</v>
      </c>
      <c r="P257">
        <v>92.4</v>
      </c>
      <c r="Q257" t="str">
        <f t="shared" si="3"/>
        <v>Low</v>
      </c>
    </row>
    <row r="258" spans="1:17" x14ac:dyDescent="0.3">
      <c r="A258" t="s">
        <v>796</v>
      </c>
      <c r="B258" t="s">
        <v>797</v>
      </c>
      <c r="C258" t="s">
        <v>37</v>
      </c>
      <c r="D258" t="s">
        <v>49</v>
      </c>
      <c r="E258" t="s">
        <v>27</v>
      </c>
      <c r="F258" t="s">
        <v>798</v>
      </c>
      <c r="G258" t="str">
        <f>TEXT(Table1_1[[#This Row],[Joining_Date]],"mmm")</f>
        <v>May</v>
      </c>
      <c r="H258" t="str">
        <f>TEXT(Table1_1[[#This Row],[Joining_Date]],"yyyy")</f>
        <v>2020</v>
      </c>
      <c r="I258" s="1"/>
      <c r="J258" t="s">
        <v>29</v>
      </c>
      <c r="K258">
        <f>IF(Table1_1[[#This Row],[Status]]="Exited",1,0)</f>
        <v>0</v>
      </c>
      <c r="L258">
        <f>IF(Table1_1[[#This Row],[Status]]="Exited",0,1)</f>
        <v>1</v>
      </c>
      <c r="M258">
        <v>810851</v>
      </c>
      <c r="N258">
        <v>2.5</v>
      </c>
      <c r="O258" t="s">
        <v>19</v>
      </c>
      <c r="P258">
        <v>96.1</v>
      </c>
      <c r="Q258" t="str">
        <f t="shared" ref="Q258:Q321" si="4">IF(AND(N258&gt;4,P258&gt;=75),"High",
 IF(AND(N258&gt;2,N258&lt;=4,P258&gt;40,P258&lt;=74),"Average","Low"))</f>
        <v>Low</v>
      </c>
    </row>
    <row r="259" spans="1:17" x14ac:dyDescent="0.3">
      <c r="A259" t="s">
        <v>799</v>
      </c>
      <c r="B259" t="s">
        <v>800</v>
      </c>
      <c r="C259" t="s">
        <v>22</v>
      </c>
      <c r="D259" t="s">
        <v>33</v>
      </c>
      <c r="E259" t="s">
        <v>27</v>
      </c>
      <c r="F259" t="s">
        <v>801</v>
      </c>
      <c r="G259" t="str">
        <f>TEXT(Table1_1[[#This Row],[Joining_Date]],"mmm")</f>
        <v>Mar</v>
      </c>
      <c r="H259" t="str">
        <f>TEXT(Table1_1[[#This Row],[Joining_Date]],"yyyy")</f>
        <v>2021</v>
      </c>
      <c r="I259" s="1"/>
      <c r="J259" t="s">
        <v>29</v>
      </c>
      <c r="K259">
        <f>IF(Table1_1[[#This Row],[Status]]="Exited",1,0)</f>
        <v>0</v>
      </c>
      <c r="L259">
        <f>IF(Table1_1[[#This Row],[Status]]="Exited",0,1)</f>
        <v>1</v>
      </c>
      <c r="M259">
        <v>981123</v>
      </c>
      <c r="N259">
        <v>4.5999999999999996</v>
      </c>
      <c r="O259" t="s">
        <v>24</v>
      </c>
      <c r="P259">
        <v>95.1</v>
      </c>
      <c r="Q259" t="str">
        <f t="shared" si="4"/>
        <v>High</v>
      </c>
    </row>
    <row r="260" spans="1:17" x14ac:dyDescent="0.3">
      <c r="A260" t="s">
        <v>802</v>
      </c>
      <c r="B260" t="s">
        <v>803</v>
      </c>
      <c r="C260" t="s">
        <v>22</v>
      </c>
      <c r="D260" t="s">
        <v>15</v>
      </c>
      <c r="E260" t="s">
        <v>45</v>
      </c>
      <c r="F260" t="s">
        <v>804</v>
      </c>
      <c r="G260" t="str">
        <f>TEXT(Table1_1[[#This Row],[Joining_Date]],"mmm")</f>
        <v>Nov</v>
      </c>
      <c r="H260" t="str">
        <f>TEXT(Table1_1[[#This Row],[Joining_Date]],"yyyy")</f>
        <v>2020</v>
      </c>
      <c r="I260" s="1">
        <v>45627</v>
      </c>
      <c r="J260" t="s">
        <v>18</v>
      </c>
      <c r="K260">
        <f>IF(Table1_1[[#This Row],[Status]]="Exited",1,0)</f>
        <v>1</v>
      </c>
      <c r="L260">
        <f>IF(Table1_1[[#This Row],[Status]]="Exited",0,1)</f>
        <v>0</v>
      </c>
      <c r="M260">
        <v>887330</v>
      </c>
      <c r="N260">
        <v>4.4000000000000004</v>
      </c>
      <c r="O260" t="s">
        <v>24</v>
      </c>
      <c r="P260">
        <v>98.8</v>
      </c>
      <c r="Q260" t="str">
        <f t="shared" si="4"/>
        <v>High</v>
      </c>
    </row>
    <row r="261" spans="1:17" x14ac:dyDescent="0.3">
      <c r="A261" t="s">
        <v>805</v>
      </c>
      <c r="B261" t="s">
        <v>806</v>
      </c>
      <c r="C261" t="s">
        <v>54</v>
      </c>
      <c r="D261" t="s">
        <v>15</v>
      </c>
      <c r="E261" t="s">
        <v>16</v>
      </c>
      <c r="F261" t="s">
        <v>807</v>
      </c>
      <c r="G261" t="str">
        <f>TEXT(Table1_1[[#This Row],[Joining_Date]],"mmm")</f>
        <v>May</v>
      </c>
      <c r="H261" t="str">
        <f>TEXT(Table1_1[[#This Row],[Joining_Date]],"yyyy")</f>
        <v>2023</v>
      </c>
      <c r="I261" s="1"/>
      <c r="J261" t="s">
        <v>29</v>
      </c>
      <c r="K261">
        <f>IF(Table1_1[[#This Row],[Status]]="Exited",1,0)</f>
        <v>0</v>
      </c>
      <c r="L261">
        <f>IF(Table1_1[[#This Row],[Status]]="Exited",0,1)</f>
        <v>1</v>
      </c>
      <c r="M261">
        <v>1121194</v>
      </c>
      <c r="N261">
        <v>4.0999999999999996</v>
      </c>
      <c r="O261" t="s">
        <v>30</v>
      </c>
      <c r="P261">
        <v>81.8</v>
      </c>
      <c r="Q261" t="str">
        <f t="shared" si="4"/>
        <v>High</v>
      </c>
    </row>
    <row r="262" spans="1:17" x14ac:dyDescent="0.3">
      <c r="A262" t="s">
        <v>808</v>
      </c>
      <c r="B262" t="s">
        <v>809</v>
      </c>
      <c r="C262" t="s">
        <v>22</v>
      </c>
      <c r="D262" t="s">
        <v>49</v>
      </c>
      <c r="E262" t="s">
        <v>45</v>
      </c>
      <c r="F262" t="s">
        <v>810</v>
      </c>
      <c r="G262" t="str">
        <f>TEXT(Table1_1[[#This Row],[Joining_Date]],"mmm")</f>
        <v>Sep</v>
      </c>
      <c r="H262" t="str">
        <f>TEXT(Table1_1[[#This Row],[Joining_Date]],"yyyy")</f>
        <v>2023</v>
      </c>
      <c r="I262" s="1"/>
      <c r="J262" t="s">
        <v>29</v>
      </c>
      <c r="K262">
        <f>IF(Table1_1[[#This Row],[Status]]="Exited",1,0)</f>
        <v>0</v>
      </c>
      <c r="L262">
        <f>IF(Table1_1[[#This Row],[Status]]="Exited",0,1)</f>
        <v>1</v>
      </c>
      <c r="M262">
        <v>346566</v>
      </c>
      <c r="N262">
        <v>4.3</v>
      </c>
      <c r="O262" t="s">
        <v>19</v>
      </c>
      <c r="P262">
        <v>82.9</v>
      </c>
      <c r="Q262" t="str">
        <f t="shared" si="4"/>
        <v>High</v>
      </c>
    </row>
    <row r="263" spans="1:17" x14ac:dyDescent="0.3">
      <c r="A263" t="s">
        <v>811</v>
      </c>
      <c r="B263" t="s">
        <v>812</v>
      </c>
      <c r="C263" t="s">
        <v>61</v>
      </c>
      <c r="D263" t="s">
        <v>15</v>
      </c>
      <c r="E263" t="s">
        <v>27</v>
      </c>
      <c r="F263" t="s">
        <v>813</v>
      </c>
      <c r="G263" t="str">
        <f>TEXT(Table1_1[[#This Row],[Joining_Date]],"mmm")</f>
        <v>Sep</v>
      </c>
      <c r="H263" t="str">
        <f>TEXT(Table1_1[[#This Row],[Joining_Date]],"yyyy")</f>
        <v>2021</v>
      </c>
      <c r="I263" s="1">
        <v>44841</v>
      </c>
      <c r="J263" t="s">
        <v>18</v>
      </c>
      <c r="K263">
        <f>IF(Table1_1[[#This Row],[Status]]="Exited",1,0)</f>
        <v>1</v>
      </c>
      <c r="L263">
        <f>IF(Table1_1[[#This Row],[Status]]="Exited",0,1)</f>
        <v>0</v>
      </c>
      <c r="M263">
        <v>820185</v>
      </c>
      <c r="N263">
        <v>2.7</v>
      </c>
      <c r="O263" t="s">
        <v>19</v>
      </c>
      <c r="P263">
        <v>84.5</v>
      </c>
      <c r="Q263" t="str">
        <f t="shared" si="4"/>
        <v>Low</v>
      </c>
    </row>
    <row r="264" spans="1:17" x14ac:dyDescent="0.3">
      <c r="A264" t="s">
        <v>814</v>
      </c>
      <c r="B264" t="s">
        <v>815</v>
      </c>
      <c r="C264" t="s">
        <v>54</v>
      </c>
      <c r="D264" t="s">
        <v>15</v>
      </c>
      <c r="E264" t="s">
        <v>16</v>
      </c>
      <c r="F264" t="s">
        <v>816</v>
      </c>
      <c r="G264" t="str">
        <f>TEXT(Table1_1[[#This Row],[Joining_Date]],"mmm")</f>
        <v>Nov</v>
      </c>
      <c r="H264" t="str">
        <f>TEXT(Table1_1[[#This Row],[Joining_Date]],"yyyy")</f>
        <v>2022</v>
      </c>
      <c r="I264" s="1"/>
      <c r="J264" t="s">
        <v>29</v>
      </c>
      <c r="K264">
        <f>IF(Table1_1[[#This Row],[Status]]="Exited",1,0)</f>
        <v>0</v>
      </c>
      <c r="L264">
        <f>IF(Table1_1[[#This Row],[Status]]="Exited",0,1)</f>
        <v>1</v>
      </c>
      <c r="M264">
        <v>1108612</v>
      </c>
      <c r="N264">
        <v>3.6</v>
      </c>
      <c r="O264" t="s">
        <v>42</v>
      </c>
      <c r="P264">
        <v>86.2</v>
      </c>
      <c r="Q264" t="str">
        <f t="shared" si="4"/>
        <v>Low</v>
      </c>
    </row>
    <row r="265" spans="1:17" x14ac:dyDescent="0.3">
      <c r="A265" t="s">
        <v>817</v>
      </c>
      <c r="B265" t="s">
        <v>818</v>
      </c>
      <c r="C265" t="s">
        <v>61</v>
      </c>
      <c r="D265" t="s">
        <v>10</v>
      </c>
      <c r="E265" t="s">
        <v>45</v>
      </c>
      <c r="F265" t="s">
        <v>819</v>
      </c>
      <c r="G265" t="str">
        <f>TEXT(Table1_1[[#This Row],[Joining_Date]],"mmm")</f>
        <v>May</v>
      </c>
      <c r="H265" t="str">
        <f>TEXT(Table1_1[[#This Row],[Joining_Date]],"yyyy")</f>
        <v>2021</v>
      </c>
      <c r="I265" s="1">
        <v>44522</v>
      </c>
      <c r="J265" t="s">
        <v>18</v>
      </c>
      <c r="K265">
        <f>IF(Table1_1[[#This Row],[Status]]="Exited",1,0)</f>
        <v>1</v>
      </c>
      <c r="L265">
        <f>IF(Table1_1[[#This Row],[Status]]="Exited",0,1)</f>
        <v>0</v>
      </c>
      <c r="M265">
        <v>751417</v>
      </c>
      <c r="N265">
        <v>2.2000000000000002</v>
      </c>
      <c r="O265" t="s">
        <v>24</v>
      </c>
      <c r="P265">
        <v>81.8</v>
      </c>
      <c r="Q265" t="str">
        <f t="shared" si="4"/>
        <v>Low</v>
      </c>
    </row>
    <row r="266" spans="1:17" x14ac:dyDescent="0.3">
      <c r="A266" t="s">
        <v>820</v>
      </c>
      <c r="B266" t="s">
        <v>821</v>
      </c>
      <c r="C266" t="s">
        <v>22</v>
      </c>
      <c r="D266" t="s">
        <v>10</v>
      </c>
      <c r="E266" t="s">
        <v>45</v>
      </c>
      <c r="F266" t="s">
        <v>46</v>
      </c>
      <c r="G266" t="str">
        <f>TEXT(Table1_1[[#This Row],[Joining_Date]],"mmm")</f>
        <v>Sep</v>
      </c>
      <c r="H266" t="str">
        <f>TEXT(Table1_1[[#This Row],[Joining_Date]],"yyyy")</f>
        <v>2023</v>
      </c>
      <c r="I266" s="1"/>
      <c r="J266" t="s">
        <v>29</v>
      </c>
      <c r="K266">
        <f>IF(Table1_1[[#This Row],[Status]]="Exited",1,0)</f>
        <v>0</v>
      </c>
      <c r="L266">
        <f>IF(Table1_1[[#This Row],[Status]]="Exited",0,1)</f>
        <v>1</v>
      </c>
      <c r="M266">
        <v>1157466</v>
      </c>
      <c r="N266">
        <v>2.6</v>
      </c>
      <c r="O266" t="s">
        <v>42</v>
      </c>
      <c r="P266">
        <v>82.5</v>
      </c>
      <c r="Q266" t="str">
        <f t="shared" si="4"/>
        <v>Low</v>
      </c>
    </row>
    <row r="267" spans="1:17" x14ac:dyDescent="0.3">
      <c r="A267" t="s">
        <v>822</v>
      </c>
      <c r="B267" t="s">
        <v>823</v>
      </c>
      <c r="C267" t="s">
        <v>61</v>
      </c>
      <c r="D267" t="s">
        <v>33</v>
      </c>
      <c r="E267" t="s">
        <v>16</v>
      </c>
      <c r="F267" t="s">
        <v>824</v>
      </c>
      <c r="G267" t="str">
        <f>TEXT(Table1_1[[#This Row],[Joining_Date]],"mmm")</f>
        <v>Jul</v>
      </c>
      <c r="H267" t="str">
        <f>TEXT(Table1_1[[#This Row],[Joining_Date]],"yyyy")</f>
        <v>2020</v>
      </c>
      <c r="I267" s="1">
        <v>44985</v>
      </c>
      <c r="J267" t="s">
        <v>18</v>
      </c>
      <c r="K267">
        <f>IF(Table1_1[[#This Row],[Status]]="Exited",1,0)</f>
        <v>1</v>
      </c>
      <c r="L267">
        <f>IF(Table1_1[[#This Row],[Status]]="Exited",0,1)</f>
        <v>0</v>
      </c>
      <c r="M267">
        <v>646525</v>
      </c>
      <c r="N267">
        <v>2.7</v>
      </c>
      <c r="O267" t="s">
        <v>19</v>
      </c>
      <c r="P267">
        <v>96.4</v>
      </c>
      <c r="Q267" t="str">
        <f t="shared" si="4"/>
        <v>Low</v>
      </c>
    </row>
    <row r="268" spans="1:17" x14ac:dyDescent="0.3">
      <c r="A268" t="s">
        <v>825</v>
      </c>
      <c r="B268" t="s">
        <v>826</v>
      </c>
      <c r="C268" t="s">
        <v>14</v>
      </c>
      <c r="D268" t="s">
        <v>49</v>
      </c>
      <c r="E268" t="s">
        <v>50</v>
      </c>
      <c r="F268" t="s">
        <v>827</v>
      </c>
      <c r="G268" t="str">
        <f>TEXT(Table1_1[[#This Row],[Joining_Date]],"mmm")</f>
        <v>Jul</v>
      </c>
      <c r="H268" t="str">
        <f>TEXT(Table1_1[[#This Row],[Joining_Date]],"yyyy")</f>
        <v>2024</v>
      </c>
      <c r="I268" s="1"/>
      <c r="J268" t="s">
        <v>29</v>
      </c>
      <c r="K268">
        <f>IF(Table1_1[[#This Row],[Status]]="Exited",1,0)</f>
        <v>0</v>
      </c>
      <c r="L268">
        <f>IF(Table1_1[[#This Row],[Status]]="Exited",0,1)</f>
        <v>1</v>
      </c>
      <c r="M268">
        <v>1101440</v>
      </c>
      <c r="N268">
        <v>2.7</v>
      </c>
      <c r="O268" t="s">
        <v>19</v>
      </c>
      <c r="P268">
        <v>76.400000000000006</v>
      </c>
      <c r="Q268" t="str">
        <f t="shared" si="4"/>
        <v>Low</v>
      </c>
    </row>
    <row r="269" spans="1:17" x14ac:dyDescent="0.3">
      <c r="A269" t="s">
        <v>828</v>
      </c>
      <c r="B269" t="s">
        <v>829</v>
      </c>
      <c r="C269" t="s">
        <v>37</v>
      </c>
      <c r="D269" t="s">
        <v>49</v>
      </c>
      <c r="E269" t="s">
        <v>16</v>
      </c>
      <c r="F269" t="s">
        <v>830</v>
      </c>
      <c r="G269" t="str">
        <f>TEXT(Table1_1[[#This Row],[Joining_Date]],"mmm")</f>
        <v>Nov</v>
      </c>
      <c r="H269" t="str">
        <f>TEXT(Table1_1[[#This Row],[Joining_Date]],"yyyy")</f>
        <v>2024</v>
      </c>
      <c r="I269" s="1"/>
      <c r="J269" t="s">
        <v>29</v>
      </c>
      <c r="K269">
        <f>IF(Table1_1[[#This Row],[Status]]="Exited",1,0)</f>
        <v>0</v>
      </c>
      <c r="L269">
        <f>IF(Table1_1[[#This Row],[Status]]="Exited",0,1)</f>
        <v>1</v>
      </c>
      <c r="M269">
        <v>1104944</v>
      </c>
      <c r="N269">
        <v>2.2000000000000002</v>
      </c>
      <c r="O269" t="s">
        <v>30</v>
      </c>
      <c r="P269">
        <v>89.1</v>
      </c>
      <c r="Q269" t="str">
        <f t="shared" si="4"/>
        <v>Low</v>
      </c>
    </row>
    <row r="270" spans="1:17" x14ac:dyDescent="0.3">
      <c r="A270" t="s">
        <v>831</v>
      </c>
      <c r="B270" t="s">
        <v>832</v>
      </c>
      <c r="C270" t="s">
        <v>14</v>
      </c>
      <c r="D270" t="s">
        <v>10</v>
      </c>
      <c r="E270" t="s">
        <v>16</v>
      </c>
      <c r="F270" t="s">
        <v>833</v>
      </c>
      <c r="G270" t="str">
        <f>TEXT(Table1_1[[#This Row],[Joining_Date]],"mmm")</f>
        <v>Jun</v>
      </c>
      <c r="H270" t="str">
        <f>TEXT(Table1_1[[#This Row],[Joining_Date]],"yyyy")</f>
        <v>2021</v>
      </c>
      <c r="I270" s="1">
        <v>44628</v>
      </c>
      <c r="J270" t="s">
        <v>18</v>
      </c>
      <c r="K270">
        <f>IF(Table1_1[[#This Row],[Status]]="Exited",1,0)</f>
        <v>1</v>
      </c>
      <c r="L270">
        <f>IF(Table1_1[[#This Row],[Status]]="Exited",0,1)</f>
        <v>0</v>
      </c>
      <c r="M270">
        <v>752761</v>
      </c>
      <c r="N270">
        <v>3.4</v>
      </c>
      <c r="O270" t="s">
        <v>30</v>
      </c>
      <c r="P270">
        <v>75</v>
      </c>
      <c r="Q270" t="str">
        <f t="shared" si="4"/>
        <v>Low</v>
      </c>
    </row>
    <row r="271" spans="1:17" x14ac:dyDescent="0.3">
      <c r="A271" t="s">
        <v>834</v>
      </c>
      <c r="B271" t="s">
        <v>835</v>
      </c>
      <c r="C271" t="s">
        <v>22</v>
      </c>
      <c r="D271" t="s">
        <v>49</v>
      </c>
      <c r="E271" t="s">
        <v>27</v>
      </c>
      <c r="F271" t="s">
        <v>836</v>
      </c>
      <c r="G271" t="str">
        <f>TEXT(Table1_1[[#This Row],[Joining_Date]],"mmm")</f>
        <v>Aug</v>
      </c>
      <c r="H271" t="str">
        <f>TEXT(Table1_1[[#This Row],[Joining_Date]],"yyyy")</f>
        <v>2023</v>
      </c>
      <c r="I271" s="1">
        <v>45435</v>
      </c>
      <c r="J271" t="s">
        <v>18</v>
      </c>
      <c r="K271">
        <f>IF(Table1_1[[#This Row],[Status]]="Exited",1,0)</f>
        <v>1</v>
      </c>
      <c r="L271">
        <f>IF(Table1_1[[#This Row],[Status]]="Exited",0,1)</f>
        <v>0</v>
      </c>
      <c r="M271">
        <v>830155</v>
      </c>
      <c r="N271">
        <v>3.8</v>
      </c>
      <c r="O271" t="s">
        <v>24</v>
      </c>
      <c r="P271">
        <v>77.400000000000006</v>
      </c>
      <c r="Q271" t="str">
        <f t="shared" si="4"/>
        <v>Low</v>
      </c>
    </row>
    <row r="272" spans="1:17" x14ac:dyDescent="0.3">
      <c r="A272" t="s">
        <v>837</v>
      </c>
      <c r="B272" t="s">
        <v>838</v>
      </c>
      <c r="C272" t="s">
        <v>61</v>
      </c>
      <c r="D272" t="s">
        <v>15</v>
      </c>
      <c r="E272" t="s">
        <v>27</v>
      </c>
      <c r="F272" t="s">
        <v>839</v>
      </c>
      <c r="G272" t="str">
        <f>TEXT(Table1_1[[#This Row],[Joining_Date]],"mmm")</f>
        <v>Dec</v>
      </c>
      <c r="H272" t="str">
        <f>TEXT(Table1_1[[#This Row],[Joining_Date]],"yyyy")</f>
        <v>2024</v>
      </c>
      <c r="I272" s="1">
        <v>46845</v>
      </c>
      <c r="J272" t="s">
        <v>18</v>
      </c>
      <c r="K272">
        <f>IF(Table1_1[[#This Row],[Status]]="Exited",1,0)</f>
        <v>1</v>
      </c>
      <c r="L272">
        <f>IF(Table1_1[[#This Row],[Status]]="Exited",0,1)</f>
        <v>0</v>
      </c>
      <c r="M272">
        <v>693926</v>
      </c>
      <c r="N272">
        <v>3.3</v>
      </c>
      <c r="O272" t="s">
        <v>19</v>
      </c>
      <c r="P272">
        <v>93.1</v>
      </c>
      <c r="Q272" t="str">
        <f t="shared" si="4"/>
        <v>Low</v>
      </c>
    </row>
    <row r="273" spans="1:17" x14ac:dyDescent="0.3">
      <c r="A273" t="s">
        <v>840</v>
      </c>
      <c r="B273" t="s">
        <v>841</v>
      </c>
      <c r="C273" t="s">
        <v>54</v>
      </c>
      <c r="D273" t="s">
        <v>10</v>
      </c>
      <c r="E273" t="s">
        <v>45</v>
      </c>
      <c r="F273" t="s">
        <v>842</v>
      </c>
      <c r="G273" t="str">
        <f>TEXT(Table1_1[[#This Row],[Joining_Date]],"mmm")</f>
        <v>Mar</v>
      </c>
      <c r="H273" t="str">
        <f>TEXT(Table1_1[[#This Row],[Joining_Date]],"yyyy")</f>
        <v>2022</v>
      </c>
      <c r="I273" s="1"/>
      <c r="J273" t="s">
        <v>29</v>
      </c>
      <c r="K273">
        <f>IF(Table1_1[[#This Row],[Status]]="Exited",1,0)</f>
        <v>0</v>
      </c>
      <c r="L273">
        <f>IF(Table1_1[[#This Row],[Status]]="Exited",0,1)</f>
        <v>1</v>
      </c>
      <c r="M273">
        <v>960052</v>
      </c>
      <c r="N273">
        <v>4.3</v>
      </c>
      <c r="O273" t="s">
        <v>42</v>
      </c>
      <c r="P273">
        <v>83.4</v>
      </c>
      <c r="Q273" t="str">
        <f t="shared" si="4"/>
        <v>High</v>
      </c>
    </row>
    <row r="274" spans="1:17" x14ac:dyDescent="0.3">
      <c r="A274" t="s">
        <v>843</v>
      </c>
      <c r="B274" t="s">
        <v>844</v>
      </c>
      <c r="C274" t="s">
        <v>37</v>
      </c>
      <c r="D274" t="s">
        <v>10</v>
      </c>
      <c r="E274" t="s">
        <v>16</v>
      </c>
      <c r="F274" t="s">
        <v>845</v>
      </c>
      <c r="G274" t="str">
        <f>TEXT(Table1_1[[#This Row],[Joining_Date]],"mmm")</f>
        <v>Dec</v>
      </c>
      <c r="H274" t="str">
        <f>TEXT(Table1_1[[#This Row],[Joining_Date]],"yyyy")</f>
        <v>2023</v>
      </c>
      <c r="I274" s="1">
        <v>45318</v>
      </c>
      <c r="J274" t="s">
        <v>18</v>
      </c>
      <c r="K274">
        <f>IF(Table1_1[[#This Row],[Status]]="Exited",1,0)</f>
        <v>1</v>
      </c>
      <c r="L274">
        <f>IF(Table1_1[[#This Row],[Status]]="Exited",0,1)</f>
        <v>0</v>
      </c>
      <c r="M274">
        <v>985966</v>
      </c>
      <c r="N274">
        <v>3.4</v>
      </c>
      <c r="O274" t="s">
        <v>42</v>
      </c>
      <c r="P274">
        <v>82.5</v>
      </c>
      <c r="Q274" t="str">
        <f t="shared" si="4"/>
        <v>Low</v>
      </c>
    </row>
    <row r="275" spans="1:17" x14ac:dyDescent="0.3">
      <c r="A275" t="s">
        <v>846</v>
      </c>
      <c r="B275" t="s">
        <v>847</v>
      </c>
      <c r="C275" t="s">
        <v>22</v>
      </c>
      <c r="D275" t="s">
        <v>15</v>
      </c>
      <c r="E275" t="s">
        <v>45</v>
      </c>
      <c r="F275" t="s">
        <v>707</v>
      </c>
      <c r="G275" t="str">
        <f>TEXT(Table1_1[[#This Row],[Joining_Date]],"mmm")</f>
        <v>Jul</v>
      </c>
      <c r="H275" t="str">
        <f>TEXT(Table1_1[[#This Row],[Joining_Date]],"yyyy")</f>
        <v>2020</v>
      </c>
      <c r="I275" s="1"/>
      <c r="J275" t="s">
        <v>29</v>
      </c>
      <c r="K275">
        <f>IF(Table1_1[[#This Row],[Status]]="Exited",1,0)</f>
        <v>0</v>
      </c>
      <c r="L275">
        <f>IF(Table1_1[[#This Row],[Status]]="Exited",0,1)</f>
        <v>1</v>
      </c>
      <c r="M275">
        <v>342324</v>
      </c>
      <c r="N275">
        <v>3.3</v>
      </c>
      <c r="O275" t="s">
        <v>30</v>
      </c>
      <c r="P275">
        <v>76.5</v>
      </c>
      <c r="Q275" t="str">
        <f t="shared" si="4"/>
        <v>Low</v>
      </c>
    </row>
    <row r="276" spans="1:17" x14ac:dyDescent="0.3">
      <c r="A276" t="s">
        <v>848</v>
      </c>
      <c r="B276" t="s">
        <v>849</v>
      </c>
      <c r="C276" t="s">
        <v>54</v>
      </c>
      <c r="D276" t="s">
        <v>49</v>
      </c>
      <c r="E276" t="s">
        <v>50</v>
      </c>
      <c r="F276" t="s">
        <v>850</v>
      </c>
      <c r="G276" t="str">
        <f>TEXT(Table1_1[[#This Row],[Joining_Date]],"mmm")</f>
        <v>Jan</v>
      </c>
      <c r="H276" t="str">
        <f>TEXT(Table1_1[[#This Row],[Joining_Date]],"yyyy")</f>
        <v>2018</v>
      </c>
      <c r="I276" s="1">
        <v>44338</v>
      </c>
      <c r="J276" t="s">
        <v>18</v>
      </c>
      <c r="K276">
        <f>IF(Table1_1[[#This Row],[Status]]="Exited",1,0)</f>
        <v>1</v>
      </c>
      <c r="L276">
        <f>IF(Table1_1[[#This Row],[Status]]="Exited",0,1)</f>
        <v>0</v>
      </c>
      <c r="M276">
        <v>1162393</v>
      </c>
      <c r="N276">
        <v>3.2</v>
      </c>
      <c r="O276" t="s">
        <v>42</v>
      </c>
      <c r="P276">
        <v>78.599999999999994</v>
      </c>
      <c r="Q276" t="str">
        <f t="shared" si="4"/>
        <v>Low</v>
      </c>
    </row>
    <row r="277" spans="1:17" x14ac:dyDescent="0.3">
      <c r="A277" t="s">
        <v>851</v>
      </c>
      <c r="B277" t="s">
        <v>852</v>
      </c>
      <c r="C277" t="s">
        <v>14</v>
      </c>
      <c r="D277" t="s">
        <v>15</v>
      </c>
      <c r="E277" t="s">
        <v>27</v>
      </c>
      <c r="F277" t="s">
        <v>853</v>
      </c>
      <c r="G277" t="str">
        <f>TEXT(Table1_1[[#This Row],[Joining_Date]],"mmm")</f>
        <v>May</v>
      </c>
      <c r="H277" t="str">
        <f>TEXT(Table1_1[[#This Row],[Joining_Date]],"yyyy")</f>
        <v>2021</v>
      </c>
      <c r="I277" s="1">
        <v>44839</v>
      </c>
      <c r="J277" t="s">
        <v>18</v>
      </c>
      <c r="K277">
        <f>IF(Table1_1[[#This Row],[Status]]="Exited",1,0)</f>
        <v>1</v>
      </c>
      <c r="L277">
        <f>IF(Table1_1[[#This Row],[Status]]="Exited",0,1)</f>
        <v>0</v>
      </c>
      <c r="M277">
        <v>1095098</v>
      </c>
      <c r="N277">
        <v>2.4</v>
      </c>
      <c r="O277" t="s">
        <v>24</v>
      </c>
      <c r="P277">
        <v>92.1</v>
      </c>
      <c r="Q277" t="str">
        <f t="shared" si="4"/>
        <v>Low</v>
      </c>
    </row>
    <row r="278" spans="1:17" x14ac:dyDescent="0.3">
      <c r="A278" t="s">
        <v>854</v>
      </c>
      <c r="B278" t="s">
        <v>855</v>
      </c>
      <c r="C278" t="s">
        <v>61</v>
      </c>
      <c r="D278" t="s">
        <v>49</v>
      </c>
      <c r="E278" t="s">
        <v>50</v>
      </c>
      <c r="F278" t="s">
        <v>856</v>
      </c>
      <c r="G278" t="str">
        <f>TEXT(Table1_1[[#This Row],[Joining_Date]],"mmm")</f>
        <v>Mar</v>
      </c>
      <c r="H278" t="str">
        <f>TEXT(Table1_1[[#This Row],[Joining_Date]],"yyyy")</f>
        <v>2023</v>
      </c>
      <c r="I278" s="1"/>
      <c r="J278" t="s">
        <v>29</v>
      </c>
      <c r="K278">
        <f>IF(Table1_1[[#This Row],[Status]]="Exited",1,0)</f>
        <v>0</v>
      </c>
      <c r="L278">
        <f>IF(Table1_1[[#This Row],[Status]]="Exited",0,1)</f>
        <v>1</v>
      </c>
      <c r="M278">
        <v>879186</v>
      </c>
      <c r="N278">
        <v>3.4</v>
      </c>
      <c r="O278" t="s">
        <v>24</v>
      </c>
      <c r="P278">
        <v>79.400000000000006</v>
      </c>
      <c r="Q278" t="str">
        <f t="shared" si="4"/>
        <v>Low</v>
      </c>
    </row>
    <row r="279" spans="1:17" x14ac:dyDescent="0.3">
      <c r="A279" t="s">
        <v>857</v>
      </c>
      <c r="B279" t="s">
        <v>858</v>
      </c>
      <c r="C279" t="s">
        <v>22</v>
      </c>
      <c r="D279" t="s">
        <v>10</v>
      </c>
      <c r="E279" t="s">
        <v>16</v>
      </c>
      <c r="F279" t="s">
        <v>859</v>
      </c>
      <c r="G279" t="str">
        <f>TEXT(Table1_1[[#This Row],[Joining_Date]],"mmm")</f>
        <v>Mar</v>
      </c>
      <c r="H279" t="str">
        <f>TEXT(Table1_1[[#This Row],[Joining_Date]],"yyyy")</f>
        <v>2019</v>
      </c>
      <c r="I279" s="1">
        <v>44815</v>
      </c>
      <c r="J279" t="s">
        <v>18</v>
      </c>
      <c r="K279">
        <f>IF(Table1_1[[#This Row],[Status]]="Exited",1,0)</f>
        <v>1</v>
      </c>
      <c r="L279">
        <f>IF(Table1_1[[#This Row],[Status]]="Exited",0,1)</f>
        <v>0</v>
      </c>
      <c r="M279">
        <v>639901</v>
      </c>
      <c r="N279">
        <v>3.4</v>
      </c>
      <c r="O279" t="s">
        <v>24</v>
      </c>
      <c r="P279">
        <v>84.1</v>
      </c>
      <c r="Q279" t="str">
        <f t="shared" si="4"/>
        <v>Low</v>
      </c>
    </row>
    <row r="280" spans="1:17" x14ac:dyDescent="0.3">
      <c r="A280" t="s">
        <v>860</v>
      </c>
      <c r="B280" t="s">
        <v>861</v>
      </c>
      <c r="C280" t="s">
        <v>61</v>
      </c>
      <c r="D280" t="s">
        <v>10</v>
      </c>
      <c r="E280" t="s">
        <v>45</v>
      </c>
      <c r="F280" t="s">
        <v>602</v>
      </c>
      <c r="G280" t="str">
        <f>TEXT(Table1_1[[#This Row],[Joining_Date]],"mmm")</f>
        <v>Nov</v>
      </c>
      <c r="H280" t="str">
        <f>TEXT(Table1_1[[#This Row],[Joining_Date]],"yyyy")</f>
        <v>2020</v>
      </c>
      <c r="I280" s="1">
        <v>44972</v>
      </c>
      <c r="J280" t="s">
        <v>18</v>
      </c>
      <c r="K280">
        <f>IF(Table1_1[[#This Row],[Status]]="Exited",1,0)</f>
        <v>1</v>
      </c>
      <c r="L280">
        <f>IF(Table1_1[[#This Row],[Status]]="Exited",0,1)</f>
        <v>0</v>
      </c>
      <c r="M280">
        <v>970028</v>
      </c>
      <c r="N280">
        <v>4.9000000000000004</v>
      </c>
      <c r="O280" t="s">
        <v>24</v>
      </c>
      <c r="P280">
        <v>81.7</v>
      </c>
      <c r="Q280" t="str">
        <f t="shared" si="4"/>
        <v>High</v>
      </c>
    </row>
    <row r="281" spans="1:17" x14ac:dyDescent="0.3">
      <c r="A281" t="s">
        <v>862</v>
      </c>
      <c r="B281" t="s">
        <v>863</v>
      </c>
      <c r="C281" t="s">
        <v>14</v>
      </c>
      <c r="D281" t="s">
        <v>49</v>
      </c>
      <c r="E281" t="s">
        <v>27</v>
      </c>
      <c r="F281" t="s">
        <v>864</v>
      </c>
      <c r="G281" t="str">
        <f>TEXT(Table1_1[[#This Row],[Joining_Date]],"mmm")</f>
        <v>Dec</v>
      </c>
      <c r="H281" t="str">
        <f>TEXT(Table1_1[[#This Row],[Joining_Date]],"yyyy")</f>
        <v>2022</v>
      </c>
      <c r="I281" s="1"/>
      <c r="J281" t="s">
        <v>29</v>
      </c>
      <c r="K281">
        <f>IF(Table1_1[[#This Row],[Status]]="Exited",1,0)</f>
        <v>0</v>
      </c>
      <c r="L281">
        <f>IF(Table1_1[[#This Row],[Status]]="Exited",0,1)</f>
        <v>1</v>
      </c>
      <c r="M281">
        <v>988643</v>
      </c>
      <c r="N281">
        <v>3.9</v>
      </c>
      <c r="O281" t="s">
        <v>30</v>
      </c>
      <c r="P281">
        <v>95.2</v>
      </c>
      <c r="Q281" t="str">
        <f t="shared" si="4"/>
        <v>Low</v>
      </c>
    </row>
    <row r="282" spans="1:17" x14ac:dyDescent="0.3">
      <c r="A282" t="s">
        <v>865</v>
      </c>
      <c r="B282" t="s">
        <v>866</v>
      </c>
      <c r="C282" t="s">
        <v>54</v>
      </c>
      <c r="D282" t="s">
        <v>15</v>
      </c>
      <c r="E282" t="s">
        <v>45</v>
      </c>
      <c r="F282" t="s">
        <v>867</v>
      </c>
      <c r="G282" t="str">
        <f>TEXT(Table1_1[[#This Row],[Joining_Date]],"mmm")</f>
        <v>Feb</v>
      </c>
      <c r="H282" t="str">
        <f>TEXT(Table1_1[[#This Row],[Joining_Date]],"yyyy")</f>
        <v>2022</v>
      </c>
      <c r="I282" s="1"/>
      <c r="J282" t="s">
        <v>29</v>
      </c>
      <c r="K282">
        <f>IF(Table1_1[[#This Row],[Status]]="Exited",1,0)</f>
        <v>0</v>
      </c>
      <c r="L282">
        <f>IF(Table1_1[[#This Row],[Status]]="Exited",0,1)</f>
        <v>1</v>
      </c>
      <c r="M282">
        <v>1094260</v>
      </c>
      <c r="N282">
        <v>2.4</v>
      </c>
      <c r="O282" t="s">
        <v>24</v>
      </c>
      <c r="P282">
        <v>76.2</v>
      </c>
      <c r="Q282" t="str">
        <f t="shared" si="4"/>
        <v>Low</v>
      </c>
    </row>
    <row r="283" spans="1:17" x14ac:dyDescent="0.3">
      <c r="A283" t="s">
        <v>868</v>
      </c>
      <c r="B283" t="s">
        <v>869</v>
      </c>
      <c r="C283" t="s">
        <v>54</v>
      </c>
      <c r="D283" t="s">
        <v>15</v>
      </c>
      <c r="E283" t="s">
        <v>27</v>
      </c>
      <c r="F283" t="s">
        <v>819</v>
      </c>
      <c r="G283" t="str">
        <f>TEXT(Table1_1[[#This Row],[Joining_Date]],"mmm")</f>
        <v>May</v>
      </c>
      <c r="H283" t="str">
        <f>TEXT(Table1_1[[#This Row],[Joining_Date]],"yyyy")</f>
        <v>2021</v>
      </c>
      <c r="I283" s="1">
        <v>44557</v>
      </c>
      <c r="J283" t="s">
        <v>18</v>
      </c>
      <c r="K283">
        <f>IF(Table1_1[[#This Row],[Status]]="Exited",1,0)</f>
        <v>1</v>
      </c>
      <c r="L283">
        <f>IF(Table1_1[[#This Row],[Status]]="Exited",0,1)</f>
        <v>0</v>
      </c>
      <c r="M283">
        <v>1072330</v>
      </c>
      <c r="N283">
        <v>2.2000000000000002</v>
      </c>
      <c r="O283" t="s">
        <v>19</v>
      </c>
      <c r="P283">
        <v>84.4</v>
      </c>
      <c r="Q283" t="str">
        <f t="shared" si="4"/>
        <v>Low</v>
      </c>
    </row>
    <row r="284" spans="1:17" x14ac:dyDescent="0.3">
      <c r="A284" t="s">
        <v>870</v>
      </c>
      <c r="B284" t="s">
        <v>871</v>
      </c>
      <c r="C284" t="s">
        <v>37</v>
      </c>
      <c r="D284" t="s">
        <v>49</v>
      </c>
      <c r="E284" t="s">
        <v>45</v>
      </c>
      <c r="F284" t="s">
        <v>872</v>
      </c>
      <c r="G284" t="str">
        <f>TEXT(Table1_1[[#This Row],[Joining_Date]],"mmm")</f>
        <v>Apr</v>
      </c>
      <c r="H284" t="str">
        <f>TEXT(Table1_1[[#This Row],[Joining_Date]],"yyyy")</f>
        <v>2018</v>
      </c>
      <c r="I284" s="1"/>
      <c r="J284" t="s">
        <v>29</v>
      </c>
      <c r="K284">
        <f>IF(Table1_1[[#This Row],[Status]]="Exited",1,0)</f>
        <v>0</v>
      </c>
      <c r="L284">
        <f>IF(Table1_1[[#This Row],[Status]]="Exited",0,1)</f>
        <v>1</v>
      </c>
      <c r="M284">
        <v>216751</v>
      </c>
      <c r="N284">
        <v>4.8</v>
      </c>
      <c r="O284" t="s">
        <v>30</v>
      </c>
      <c r="P284">
        <v>98.5</v>
      </c>
      <c r="Q284" t="str">
        <f t="shared" si="4"/>
        <v>High</v>
      </c>
    </row>
    <row r="285" spans="1:17" x14ac:dyDescent="0.3">
      <c r="A285" t="s">
        <v>873</v>
      </c>
      <c r="B285" t="s">
        <v>874</v>
      </c>
      <c r="C285" t="s">
        <v>22</v>
      </c>
      <c r="D285" t="s">
        <v>33</v>
      </c>
      <c r="E285" t="s">
        <v>16</v>
      </c>
      <c r="F285" t="s">
        <v>875</v>
      </c>
      <c r="G285" t="str">
        <f>TEXT(Table1_1[[#This Row],[Joining_Date]],"mmm")</f>
        <v>Jun</v>
      </c>
      <c r="H285" t="str">
        <f>TEXT(Table1_1[[#This Row],[Joining_Date]],"yyyy")</f>
        <v>2024</v>
      </c>
      <c r="I285" s="1">
        <v>46711</v>
      </c>
      <c r="J285" t="s">
        <v>18</v>
      </c>
      <c r="K285">
        <f>IF(Table1_1[[#This Row],[Status]]="Exited",1,0)</f>
        <v>1</v>
      </c>
      <c r="L285">
        <f>IF(Table1_1[[#This Row],[Status]]="Exited",0,1)</f>
        <v>0</v>
      </c>
      <c r="M285">
        <v>416360</v>
      </c>
      <c r="N285">
        <v>4.0999999999999996</v>
      </c>
      <c r="O285" t="s">
        <v>30</v>
      </c>
      <c r="P285">
        <v>85.7</v>
      </c>
      <c r="Q285" t="str">
        <f t="shared" si="4"/>
        <v>High</v>
      </c>
    </row>
    <row r="286" spans="1:17" x14ac:dyDescent="0.3">
      <c r="A286" t="s">
        <v>876</v>
      </c>
      <c r="B286" t="s">
        <v>877</v>
      </c>
      <c r="C286" t="s">
        <v>14</v>
      </c>
      <c r="D286" t="s">
        <v>15</v>
      </c>
      <c r="E286" t="s">
        <v>50</v>
      </c>
      <c r="F286" t="s">
        <v>878</v>
      </c>
      <c r="G286" t="str">
        <f>TEXT(Table1_1[[#This Row],[Joining_Date]],"mmm")</f>
        <v>Nov</v>
      </c>
      <c r="H286" t="str">
        <f>TEXT(Table1_1[[#This Row],[Joining_Date]],"yyyy")</f>
        <v>2018</v>
      </c>
      <c r="I286" s="1">
        <v>43742</v>
      </c>
      <c r="J286" t="s">
        <v>18</v>
      </c>
      <c r="K286">
        <f>IF(Table1_1[[#This Row],[Status]]="Exited",1,0)</f>
        <v>1</v>
      </c>
      <c r="L286">
        <f>IF(Table1_1[[#This Row],[Status]]="Exited",0,1)</f>
        <v>0</v>
      </c>
      <c r="M286">
        <v>663527</v>
      </c>
      <c r="N286">
        <v>2.1</v>
      </c>
      <c r="O286" t="s">
        <v>19</v>
      </c>
      <c r="P286">
        <v>89.5</v>
      </c>
      <c r="Q286" t="str">
        <f t="shared" si="4"/>
        <v>Low</v>
      </c>
    </row>
    <row r="287" spans="1:17" x14ac:dyDescent="0.3">
      <c r="A287" t="s">
        <v>879</v>
      </c>
      <c r="B287" t="s">
        <v>880</v>
      </c>
      <c r="C287" t="s">
        <v>22</v>
      </c>
      <c r="D287" t="s">
        <v>49</v>
      </c>
      <c r="E287" t="s">
        <v>45</v>
      </c>
      <c r="F287" t="s">
        <v>731</v>
      </c>
      <c r="G287" t="str">
        <f>TEXT(Table1_1[[#This Row],[Joining_Date]],"mmm")</f>
        <v>Oct</v>
      </c>
      <c r="H287" t="str">
        <f>TEXT(Table1_1[[#This Row],[Joining_Date]],"yyyy")</f>
        <v>2018</v>
      </c>
      <c r="I287" s="1">
        <v>44483</v>
      </c>
      <c r="J287" t="s">
        <v>18</v>
      </c>
      <c r="K287">
        <f>IF(Table1_1[[#This Row],[Status]]="Exited",1,0)</f>
        <v>1</v>
      </c>
      <c r="L287">
        <f>IF(Table1_1[[#This Row],[Status]]="Exited",0,1)</f>
        <v>0</v>
      </c>
      <c r="M287">
        <v>769620</v>
      </c>
      <c r="N287">
        <v>4</v>
      </c>
      <c r="O287" t="s">
        <v>24</v>
      </c>
      <c r="P287">
        <v>77.400000000000006</v>
      </c>
      <c r="Q287" t="str">
        <f t="shared" si="4"/>
        <v>Low</v>
      </c>
    </row>
    <row r="288" spans="1:17" x14ac:dyDescent="0.3">
      <c r="A288" t="s">
        <v>881</v>
      </c>
      <c r="B288" t="s">
        <v>882</v>
      </c>
      <c r="C288" t="s">
        <v>54</v>
      </c>
      <c r="D288" t="s">
        <v>49</v>
      </c>
      <c r="E288" t="s">
        <v>27</v>
      </c>
      <c r="F288" t="s">
        <v>883</v>
      </c>
      <c r="G288" t="str">
        <f>TEXT(Table1_1[[#This Row],[Joining_Date]],"mmm")</f>
        <v>Dec</v>
      </c>
      <c r="H288" t="str">
        <f>TEXT(Table1_1[[#This Row],[Joining_Date]],"yyyy")</f>
        <v>2024</v>
      </c>
      <c r="I288" s="1">
        <v>45985</v>
      </c>
      <c r="J288" t="s">
        <v>18</v>
      </c>
      <c r="K288">
        <f>IF(Table1_1[[#This Row],[Status]]="Exited",1,0)</f>
        <v>1</v>
      </c>
      <c r="L288">
        <f>IF(Table1_1[[#This Row],[Status]]="Exited",0,1)</f>
        <v>0</v>
      </c>
      <c r="M288">
        <v>726629</v>
      </c>
      <c r="N288">
        <v>3</v>
      </c>
      <c r="O288" t="s">
        <v>42</v>
      </c>
      <c r="P288">
        <v>98.6</v>
      </c>
      <c r="Q288" t="str">
        <f t="shared" si="4"/>
        <v>Low</v>
      </c>
    </row>
    <row r="289" spans="1:17" x14ac:dyDescent="0.3">
      <c r="A289" t="s">
        <v>884</v>
      </c>
      <c r="B289" t="s">
        <v>885</v>
      </c>
      <c r="C289" t="s">
        <v>54</v>
      </c>
      <c r="D289" t="s">
        <v>15</v>
      </c>
      <c r="E289" t="s">
        <v>45</v>
      </c>
      <c r="F289" t="s">
        <v>886</v>
      </c>
      <c r="G289" t="str">
        <f>TEXT(Table1_1[[#This Row],[Joining_Date]],"mmm")</f>
        <v>Aug</v>
      </c>
      <c r="H289" t="str">
        <f>TEXT(Table1_1[[#This Row],[Joining_Date]],"yyyy")</f>
        <v>2018</v>
      </c>
      <c r="I289" s="1"/>
      <c r="J289" t="s">
        <v>29</v>
      </c>
      <c r="K289">
        <f>IF(Table1_1[[#This Row],[Status]]="Exited",1,0)</f>
        <v>0</v>
      </c>
      <c r="L289">
        <f>IF(Table1_1[[#This Row],[Status]]="Exited",0,1)</f>
        <v>1</v>
      </c>
      <c r="M289">
        <v>505074</v>
      </c>
      <c r="N289">
        <v>3.4</v>
      </c>
      <c r="O289" t="s">
        <v>30</v>
      </c>
      <c r="P289">
        <v>93.4</v>
      </c>
      <c r="Q289" t="str">
        <f t="shared" si="4"/>
        <v>Low</v>
      </c>
    </row>
    <row r="290" spans="1:17" x14ac:dyDescent="0.3">
      <c r="A290" t="s">
        <v>887</v>
      </c>
      <c r="B290" t="s">
        <v>888</v>
      </c>
      <c r="C290" t="s">
        <v>22</v>
      </c>
      <c r="D290" t="s">
        <v>49</v>
      </c>
      <c r="E290" t="s">
        <v>16</v>
      </c>
      <c r="F290" t="s">
        <v>889</v>
      </c>
      <c r="G290" t="str">
        <f>TEXT(Table1_1[[#This Row],[Joining_Date]],"mmm")</f>
        <v>Aug</v>
      </c>
      <c r="H290" t="str">
        <f>TEXT(Table1_1[[#This Row],[Joining_Date]],"yyyy")</f>
        <v>2022</v>
      </c>
      <c r="I290" s="1"/>
      <c r="J290" t="s">
        <v>29</v>
      </c>
      <c r="K290">
        <f>IF(Table1_1[[#This Row],[Status]]="Exited",1,0)</f>
        <v>0</v>
      </c>
      <c r="L290">
        <f>IF(Table1_1[[#This Row],[Status]]="Exited",0,1)</f>
        <v>1</v>
      </c>
      <c r="M290">
        <v>680800</v>
      </c>
      <c r="N290">
        <v>4.5</v>
      </c>
      <c r="O290" t="s">
        <v>30</v>
      </c>
      <c r="P290">
        <v>99.6</v>
      </c>
      <c r="Q290" t="str">
        <f t="shared" si="4"/>
        <v>High</v>
      </c>
    </row>
    <row r="291" spans="1:17" x14ac:dyDescent="0.3">
      <c r="A291" t="s">
        <v>890</v>
      </c>
      <c r="B291" t="s">
        <v>891</v>
      </c>
      <c r="C291" t="s">
        <v>22</v>
      </c>
      <c r="D291" t="s">
        <v>15</v>
      </c>
      <c r="E291" t="s">
        <v>50</v>
      </c>
      <c r="F291" t="s">
        <v>390</v>
      </c>
      <c r="G291" t="str">
        <f>TEXT(Table1_1[[#This Row],[Joining_Date]],"mmm")</f>
        <v>Aug</v>
      </c>
      <c r="H291" t="str">
        <f>TEXT(Table1_1[[#This Row],[Joining_Date]],"yyyy")</f>
        <v>2021</v>
      </c>
      <c r="I291" s="1"/>
      <c r="J291" t="s">
        <v>29</v>
      </c>
      <c r="K291">
        <f>IF(Table1_1[[#This Row],[Status]]="Exited",1,0)</f>
        <v>0</v>
      </c>
      <c r="L291">
        <f>IF(Table1_1[[#This Row],[Status]]="Exited",0,1)</f>
        <v>1</v>
      </c>
      <c r="M291">
        <v>503018</v>
      </c>
      <c r="N291">
        <v>3.5</v>
      </c>
      <c r="O291" t="s">
        <v>19</v>
      </c>
      <c r="P291">
        <v>98.3</v>
      </c>
      <c r="Q291" t="str">
        <f t="shared" si="4"/>
        <v>Low</v>
      </c>
    </row>
    <row r="292" spans="1:17" x14ac:dyDescent="0.3">
      <c r="A292" t="s">
        <v>892</v>
      </c>
      <c r="B292" t="s">
        <v>893</v>
      </c>
      <c r="C292" t="s">
        <v>14</v>
      </c>
      <c r="D292" t="s">
        <v>15</v>
      </c>
      <c r="E292" t="s">
        <v>27</v>
      </c>
      <c r="F292" t="s">
        <v>894</v>
      </c>
      <c r="G292" t="str">
        <f>TEXT(Table1_1[[#This Row],[Joining_Date]],"mmm")</f>
        <v>Aug</v>
      </c>
      <c r="H292" t="str">
        <f>TEXT(Table1_1[[#This Row],[Joining_Date]],"yyyy")</f>
        <v>2018</v>
      </c>
      <c r="I292" s="1"/>
      <c r="J292" t="s">
        <v>29</v>
      </c>
      <c r="K292">
        <f>IF(Table1_1[[#This Row],[Status]]="Exited",1,0)</f>
        <v>0</v>
      </c>
      <c r="L292">
        <f>IF(Table1_1[[#This Row],[Status]]="Exited",0,1)</f>
        <v>1</v>
      </c>
      <c r="M292">
        <v>506844</v>
      </c>
      <c r="N292">
        <v>4.2</v>
      </c>
      <c r="O292" t="s">
        <v>30</v>
      </c>
      <c r="P292">
        <v>79.900000000000006</v>
      </c>
      <c r="Q292" t="str">
        <f t="shared" si="4"/>
        <v>High</v>
      </c>
    </row>
    <row r="293" spans="1:17" x14ac:dyDescent="0.3">
      <c r="A293" t="s">
        <v>895</v>
      </c>
      <c r="B293" t="s">
        <v>896</v>
      </c>
      <c r="C293" t="s">
        <v>54</v>
      </c>
      <c r="D293" t="s">
        <v>49</v>
      </c>
      <c r="E293" t="s">
        <v>27</v>
      </c>
      <c r="F293" t="s">
        <v>897</v>
      </c>
      <c r="G293" t="str">
        <f>TEXT(Table1_1[[#This Row],[Joining_Date]],"mmm")</f>
        <v>Mar</v>
      </c>
      <c r="H293" t="str">
        <f>TEXT(Table1_1[[#This Row],[Joining_Date]],"yyyy")</f>
        <v>2023</v>
      </c>
      <c r="I293" s="1">
        <v>45928</v>
      </c>
      <c r="J293" t="s">
        <v>18</v>
      </c>
      <c r="K293">
        <f>IF(Table1_1[[#This Row],[Status]]="Exited",1,0)</f>
        <v>1</v>
      </c>
      <c r="L293">
        <f>IF(Table1_1[[#This Row],[Status]]="Exited",0,1)</f>
        <v>0</v>
      </c>
      <c r="M293">
        <v>986953</v>
      </c>
      <c r="N293">
        <v>3</v>
      </c>
      <c r="O293" t="s">
        <v>19</v>
      </c>
      <c r="P293">
        <v>81</v>
      </c>
      <c r="Q293" t="str">
        <f t="shared" si="4"/>
        <v>Low</v>
      </c>
    </row>
    <row r="294" spans="1:17" x14ac:dyDescent="0.3">
      <c r="A294" t="s">
        <v>898</v>
      </c>
      <c r="B294" t="s">
        <v>899</v>
      </c>
      <c r="C294" t="s">
        <v>37</v>
      </c>
      <c r="D294" t="s">
        <v>49</v>
      </c>
      <c r="E294" t="s">
        <v>16</v>
      </c>
      <c r="F294" t="s">
        <v>900</v>
      </c>
      <c r="G294" t="str">
        <f>TEXT(Table1_1[[#This Row],[Joining_Date]],"mmm")</f>
        <v>Dec</v>
      </c>
      <c r="H294" t="str">
        <f>TEXT(Table1_1[[#This Row],[Joining_Date]],"yyyy")</f>
        <v>2020</v>
      </c>
      <c r="I294" s="1"/>
      <c r="J294" t="s">
        <v>29</v>
      </c>
      <c r="K294">
        <f>IF(Table1_1[[#This Row],[Status]]="Exited",1,0)</f>
        <v>0</v>
      </c>
      <c r="L294">
        <f>IF(Table1_1[[#This Row],[Status]]="Exited",0,1)</f>
        <v>1</v>
      </c>
      <c r="M294">
        <v>714626</v>
      </c>
      <c r="N294">
        <v>4.0999999999999996</v>
      </c>
      <c r="O294" t="s">
        <v>42</v>
      </c>
      <c r="P294">
        <v>76.400000000000006</v>
      </c>
      <c r="Q294" t="str">
        <f t="shared" si="4"/>
        <v>High</v>
      </c>
    </row>
    <row r="295" spans="1:17" x14ac:dyDescent="0.3">
      <c r="A295" t="s">
        <v>901</v>
      </c>
      <c r="B295" t="s">
        <v>902</v>
      </c>
      <c r="C295" t="s">
        <v>54</v>
      </c>
      <c r="D295" t="s">
        <v>33</v>
      </c>
      <c r="E295" t="s">
        <v>45</v>
      </c>
      <c r="F295" t="s">
        <v>903</v>
      </c>
      <c r="G295" t="str">
        <f>TEXT(Table1_1[[#This Row],[Joining_Date]],"mmm")</f>
        <v>Sep</v>
      </c>
      <c r="H295" t="str">
        <f>TEXT(Table1_1[[#This Row],[Joining_Date]],"yyyy")</f>
        <v>2018</v>
      </c>
      <c r="I295" s="1"/>
      <c r="J295" t="s">
        <v>29</v>
      </c>
      <c r="K295">
        <f>IF(Table1_1[[#This Row],[Status]]="Exited",1,0)</f>
        <v>0</v>
      </c>
      <c r="L295">
        <f>IF(Table1_1[[#This Row],[Status]]="Exited",0,1)</f>
        <v>1</v>
      </c>
      <c r="M295">
        <v>469423</v>
      </c>
      <c r="N295">
        <v>2.9</v>
      </c>
      <c r="O295" t="s">
        <v>19</v>
      </c>
      <c r="P295">
        <v>80.900000000000006</v>
      </c>
      <c r="Q295" t="str">
        <f t="shared" si="4"/>
        <v>Low</v>
      </c>
    </row>
    <row r="296" spans="1:17" x14ac:dyDescent="0.3">
      <c r="A296" t="s">
        <v>904</v>
      </c>
      <c r="B296" t="s">
        <v>905</v>
      </c>
      <c r="C296" t="s">
        <v>37</v>
      </c>
      <c r="D296" t="s">
        <v>33</v>
      </c>
      <c r="E296" t="s">
        <v>45</v>
      </c>
      <c r="F296" t="s">
        <v>906</v>
      </c>
      <c r="G296" t="str">
        <f>TEXT(Table1_1[[#This Row],[Joining_Date]],"mmm")</f>
        <v>May</v>
      </c>
      <c r="H296" t="str">
        <f>TEXT(Table1_1[[#This Row],[Joining_Date]],"yyyy")</f>
        <v>2019</v>
      </c>
      <c r="I296" s="1"/>
      <c r="J296" t="s">
        <v>29</v>
      </c>
      <c r="K296">
        <f>IF(Table1_1[[#This Row],[Status]]="Exited",1,0)</f>
        <v>0</v>
      </c>
      <c r="L296">
        <f>IF(Table1_1[[#This Row],[Status]]="Exited",0,1)</f>
        <v>1</v>
      </c>
      <c r="M296">
        <v>269228</v>
      </c>
      <c r="N296">
        <v>4.4000000000000004</v>
      </c>
      <c r="O296" t="s">
        <v>42</v>
      </c>
      <c r="P296">
        <v>92.8</v>
      </c>
      <c r="Q296" t="str">
        <f t="shared" si="4"/>
        <v>High</v>
      </c>
    </row>
    <row r="297" spans="1:17" x14ac:dyDescent="0.3">
      <c r="A297" t="s">
        <v>907</v>
      </c>
      <c r="B297" t="s">
        <v>908</v>
      </c>
      <c r="C297" t="s">
        <v>22</v>
      </c>
      <c r="D297" t="s">
        <v>10</v>
      </c>
      <c r="E297" t="s">
        <v>27</v>
      </c>
      <c r="F297" t="s">
        <v>909</v>
      </c>
      <c r="G297" t="str">
        <f>TEXT(Table1_1[[#This Row],[Joining_Date]],"mmm")</f>
        <v>Jun</v>
      </c>
      <c r="H297" t="str">
        <f>TEXT(Table1_1[[#This Row],[Joining_Date]],"yyyy")</f>
        <v>2020</v>
      </c>
      <c r="I297" s="1"/>
      <c r="J297" t="s">
        <v>29</v>
      </c>
      <c r="K297">
        <f>IF(Table1_1[[#This Row],[Status]]="Exited",1,0)</f>
        <v>0</v>
      </c>
      <c r="L297">
        <f>IF(Table1_1[[#This Row],[Status]]="Exited",0,1)</f>
        <v>1</v>
      </c>
      <c r="M297">
        <v>835248</v>
      </c>
      <c r="N297">
        <v>2.8</v>
      </c>
      <c r="O297" t="s">
        <v>19</v>
      </c>
      <c r="P297">
        <v>88.5</v>
      </c>
      <c r="Q297" t="str">
        <f t="shared" si="4"/>
        <v>Low</v>
      </c>
    </row>
    <row r="298" spans="1:17" x14ac:dyDescent="0.3">
      <c r="A298" t="s">
        <v>910</v>
      </c>
      <c r="B298" t="s">
        <v>911</v>
      </c>
      <c r="C298" t="s">
        <v>22</v>
      </c>
      <c r="D298" t="s">
        <v>33</v>
      </c>
      <c r="E298" t="s">
        <v>45</v>
      </c>
      <c r="F298" t="s">
        <v>912</v>
      </c>
      <c r="G298" t="str">
        <f>TEXT(Table1_1[[#This Row],[Joining_Date]],"mmm")</f>
        <v>Dec</v>
      </c>
      <c r="H298" t="str">
        <f>TEXT(Table1_1[[#This Row],[Joining_Date]],"yyyy")</f>
        <v>2022</v>
      </c>
      <c r="I298" s="1">
        <v>45647</v>
      </c>
      <c r="J298" t="s">
        <v>18</v>
      </c>
      <c r="K298">
        <f>IF(Table1_1[[#This Row],[Status]]="Exited",1,0)</f>
        <v>1</v>
      </c>
      <c r="L298">
        <f>IF(Table1_1[[#This Row],[Status]]="Exited",0,1)</f>
        <v>0</v>
      </c>
      <c r="M298">
        <v>361145</v>
      </c>
      <c r="N298">
        <v>2.2999999999999998</v>
      </c>
      <c r="O298" t="s">
        <v>30</v>
      </c>
      <c r="P298">
        <v>92.1</v>
      </c>
      <c r="Q298" t="str">
        <f t="shared" si="4"/>
        <v>Low</v>
      </c>
    </row>
    <row r="299" spans="1:17" x14ac:dyDescent="0.3">
      <c r="A299" t="s">
        <v>913</v>
      </c>
      <c r="B299" t="s">
        <v>914</v>
      </c>
      <c r="C299" t="s">
        <v>14</v>
      </c>
      <c r="D299" t="s">
        <v>49</v>
      </c>
      <c r="E299" t="s">
        <v>50</v>
      </c>
      <c r="F299" t="s">
        <v>915</v>
      </c>
      <c r="G299" t="str">
        <f>TEXT(Table1_1[[#This Row],[Joining_Date]],"mmm")</f>
        <v>Apr</v>
      </c>
      <c r="H299" t="str">
        <f>TEXT(Table1_1[[#This Row],[Joining_Date]],"yyyy")</f>
        <v>2024</v>
      </c>
      <c r="I299" s="1">
        <v>46504</v>
      </c>
      <c r="J299" t="s">
        <v>18</v>
      </c>
      <c r="K299">
        <f>IF(Table1_1[[#This Row],[Status]]="Exited",1,0)</f>
        <v>1</v>
      </c>
      <c r="L299">
        <f>IF(Table1_1[[#This Row],[Status]]="Exited",0,1)</f>
        <v>0</v>
      </c>
      <c r="M299">
        <v>595815</v>
      </c>
      <c r="N299">
        <v>4.0999999999999996</v>
      </c>
      <c r="O299" t="s">
        <v>19</v>
      </c>
      <c r="P299">
        <v>85.2</v>
      </c>
      <c r="Q299" t="str">
        <f t="shared" si="4"/>
        <v>High</v>
      </c>
    </row>
    <row r="300" spans="1:17" x14ac:dyDescent="0.3">
      <c r="A300" t="s">
        <v>916</v>
      </c>
      <c r="B300" t="s">
        <v>917</v>
      </c>
      <c r="C300" t="s">
        <v>22</v>
      </c>
      <c r="D300" t="s">
        <v>49</v>
      </c>
      <c r="E300" t="s">
        <v>45</v>
      </c>
      <c r="F300" t="s">
        <v>918</v>
      </c>
      <c r="G300" t="str">
        <f>TEXT(Table1_1[[#This Row],[Joining_Date]],"mmm")</f>
        <v>Apr</v>
      </c>
      <c r="H300" t="str">
        <f>TEXT(Table1_1[[#This Row],[Joining_Date]],"yyyy")</f>
        <v>2018</v>
      </c>
      <c r="I300" s="1">
        <v>44328</v>
      </c>
      <c r="J300" t="s">
        <v>18</v>
      </c>
      <c r="K300">
        <f>IF(Table1_1[[#This Row],[Status]]="Exited",1,0)</f>
        <v>1</v>
      </c>
      <c r="L300">
        <f>IF(Table1_1[[#This Row],[Status]]="Exited",0,1)</f>
        <v>0</v>
      </c>
      <c r="M300">
        <v>687288</v>
      </c>
      <c r="N300">
        <v>3.3</v>
      </c>
      <c r="O300" t="s">
        <v>30</v>
      </c>
      <c r="P300">
        <v>85.6</v>
      </c>
      <c r="Q300" t="str">
        <f t="shared" si="4"/>
        <v>Low</v>
      </c>
    </row>
    <row r="301" spans="1:17" x14ac:dyDescent="0.3">
      <c r="A301" t="s">
        <v>919</v>
      </c>
      <c r="B301" t="s">
        <v>920</v>
      </c>
      <c r="C301" t="s">
        <v>14</v>
      </c>
      <c r="D301" t="s">
        <v>15</v>
      </c>
      <c r="E301" t="s">
        <v>27</v>
      </c>
      <c r="F301" t="s">
        <v>921</v>
      </c>
      <c r="G301" t="str">
        <f>TEXT(Table1_1[[#This Row],[Joining_Date]],"mmm")</f>
        <v>Apr</v>
      </c>
      <c r="H301" t="str">
        <f>TEXT(Table1_1[[#This Row],[Joining_Date]],"yyyy")</f>
        <v>2019</v>
      </c>
      <c r="I301" s="1"/>
      <c r="J301" t="s">
        <v>29</v>
      </c>
      <c r="K301">
        <f>IF(Table1_1[[#This Row],[Status]]="Exited",1,0)</f>
        <v>0</v>
      </c>
      <c r="L301">
        <f>IF(Table1_1[[#This Row],[Status]]="Exited",0,1)</f>
        <v>1</v>
      </c>
      <c r="M301">
        <v>349303</v>
      </c>
      <c r="N301">
        <v>4.0999999999999996</v>
      </c>
      <c r="O301" t="s">
        <v>24</v>
      </c>
      <c r="P301">
        <v>98.7</v>
      </c>
      <c r="Q301" t="str">
        <f t="shared" si="4"/>
        <v>High</v>
      </c>
    </row>
    <row r="302" spans="1:17" x14ac:dyDescent="0.3">
      <c r="A302" t="s">
        <v>922</v>
      </c>
      <c r="B302" t="s">
        <v>923</v>
      </c>
      <c r="C302" t="s">
        <v>61</v>
      </c>
      <c r="D302" t="s">
        <v>49</v>
      </c>
      <c r="E302" t="s">
        <v>16</v>
      </c>
      <c r="F302" t="s">
        <v>924</v>
      </c>
      <c r="G302" t="str">
        <f>TEXT(Table1_1[[#This Row],[Joining_Date]],"mmm")</f>
        <v>Apr</v>
      </c>
      <c r="H302" t="str">
        <f>TEXT(Table1_1[[#This Row],[Joining_Date]],"yyyy")</f>
        <v>2024</v>
      </c>
      <c r="I302" s="1">
        <v>46771</v>
      </c>
      <c r="J302" t="s">
        <v>18</v>
      </c>
      <c r="K302">
        <f>IF(Table1_1[[#This Row],[Status]]="Exited",1,0)</f>
        <v>1</v>
      </c>
      <c r="L302">
        <f>IF(Table1_1[[#This Row],[Status]]="Exited",0,1)</f>
        <v>0</v>
      </c>
      <c r="M302">
        <v>860569</v>
      </c>
      <c r="N302">
        <v>2.5</v>
      </c>
      <c r="O302" t="s">
        <v>42</v>
      </c>
      <c r="P302">
        <v>85.9</v>
      </c>
      <c r="Q302" t="str">
        <f t="shared" si="4"/>
        <v>Low</v>
      </c>
    </row>
    <row r="303" spans="1:17" x14ac:dyDescent="0.3">
      <c r="A303" t="s">
        <v>925</v>
      </c>
      <c r="B303" t="s">
        <v>926</v>
      </c>
      <c r="C303" t="s">
        <v>37</v>
      </c>
      <c r="D303" t="s">
        <v>15</v>
      </c>
      <c r="E303" t="s">
        <v>16</v>
      </c>
      <c r="F303" t="s">
        <v>927</v>
      </c>
      <c r="G303" t="str">
        <f>TEXT(Table1_1[[#This Row],[Joining_Date]],"mmm")</f>
        <v>Jun</v>
      </c>
      <c r="H303" t="str">
        <f>TEXT(Table1_1[[#This Row],[Joining_Date]],"yyyy")</f>
        <v>2022</v>
      </c>
      <c r="I303" s="1">
        <v>45306</v>
      </c>
      <c r="J303" t="s">
        <v>18</v>
      </c>
      <c r="K303">
        <f>IF(Table1_1[[#This Row],[Status]]="Exited",1,0)</f>
        <v>1</v>
      </c>
      <c r="L303">
        <f>IF(Table1_1[[#This Row],[Status]]="Exited",0,1)</f>
        <v>0</v>
      </c>
      <c r="M303">
        <v>931883</v>
      </c>
      <c r="N303">
        <v>4.4000000000000004</v>
      </c>
      <c r="O303" t="s">
        <v>24</v>
      </c>
      <c r="P303">
        <v>78.599999999999994</v>
      </c>
      <c r="Q303" t="str">
        <f t="shared" si="4"/>
        <v>High</v>
      </c>
    </row>
    <row r="304" spans="1:17" x14ac:dyDescent="0.3">
      <c r="A304" t="s">
        <v>928</v>
      </c>
      <c r="B304" t="s">
        <v>929</v>
      </c>
      <c r="C304" t="s">
        <v>37</v>
      </c>
      <c r="D304" t="s">
        <v>10</v>
      </c>
      <c r="E304" t="s">
        <v>50</v>
      </c>
      <c r="F304" t="s">
        <v>930</v>
      </c>
      <c r="G304" t="str">
        <f>TEXT(Table1_1[[#This Row],[Joining_Date]],"mmm")</f>
        <v>Mar</v>
      </c>
      <c r="H304" t="str">
        <f>TEXT(Table1_1[[#This Row],[Joining_Date]],"yyyy")</f>
        <v>2019</v>
      </c>
      <c r="I304" s="1"/>
      <c r="J304" t="s">
        <v>29</v>
      </c>
      <c r="K304">
        <f>IF(Table1_1[[#This Row],[Status]]="Exited",1,0)</f>
        <v>0</v>
      </c>
      <c r="L304">
        <f>IF(Table1_1[[#This Row],[Status]]="Exited",0,1)</f>
        <v>1</v>
      </c>
      <c r="M304">
        <v>554562</v>
      </c>
      <c r="N304">
        <v>3.7</v>
      </c>
      <c r="O304" t="s">
        <v>24</v>
      </c>
      <c r="P304">
        <v>94.8</v>
      </c>
      <c r="Q304" t="str">
        <f t="shared" si="4"/>
        <v>Low</v>
      </c>
    </row>
    <row r="305" spans="1:17" x14ac:dyDescent="0.3">
      <c r="A305" t="s">
        <v>931</v>
      </c>
      <c r="B305" t="s">
        <v>932</v>
      </c>
      <c r="C305" t="s">
        <v>22</v>
      </c>
      <c r="D305" t="s">
        <v>15</v>
      </c>
      <c r="E305" t="s">
        <v>50</v>
      </c>
      <c r="F305" t="s">
        <v>933</v>
      </c>
      <c r="G305" t="str">
        <f>TEXT(Table1_1[[#This Row],[Joining_Date]],"mmm")</f>
        <v>Dec</v>
      </c>
      <c r="H305" t="str">
        <f>TEXT(Table1_1[[#This Row],[Joining_Date]],"yyyy")</f>
        <v>2022</v>
      </c>
      <c r="I305" s="1"/>
      <c r="J305" t="s">
        <v>29</v>
      </c>
      <c r="K305">
        <f>IF(Table1_1[[#This Row],[Status]]="Exited",1,0)</f>
        <v>0</v>
      </c>
      <c r="L305">
        <f>IF(Table1_1[[#This Row],[Status]]="Exited",0,1)</f>
        <v>1</v>
      </c>
      <c r="M305">
        <v>1053018</v>
      </c>
      <c r="N305">
        <v>4.4000000000000004</v>
      </c>
      <c r="O305" t="s">
        <v>19</v>
      </c>
      <c r="P305">
        <v>84.2</v>
      </c>
      <c r="Q305" t="str">
        <f t="shared" si="4"/>
        <v>High</v>
      </c>
    </row>
    <row r="306" spans="1:17" x14ac:dyDescent="0.3">
      <c r="A306" t="s">
        <v>934</v>
      </c>
      <c r="B306" t="s">
        <v>935</v>
      </c>
      <c r="C306" t="s">
        <v>37</v>
      </c>
      <c r="D306" t="s">
        <v>10</v>
      </c>
      <c r="E306" t="s">
        <v>16</v>
      </c>
      <c r="F306" t="s">
        <v>927</v>
      </c>
      <c r="G306" t="str">
        <f>TEXT(Table1_1[[#This Row],[Joining_Date]],"mmm")</f>
        <v>Jun</v>
      </c>
      <c r="H306" t="str">
        <f>TEXT(Table1_1[[#This Row],[Joining_Date]],"yyyy")</f>
        <v>2022</v>
      </c>
      <c r="I306" s="1">
        <v>45941</v>
      </c>
      <c r="J306" t="s">
        <v>18</v>
      </c>
      <c r="K306">
        <f>IF(Table1_1[[#This Row],[Status]]="Exited",1,0)</f>
        <v>1</v>
      </c>
      <c r="L306">
        <f>IF(Table1_1[[#This Row],[Status]]="Exited",0,1)</f>
        <v>0</v>
      </c>
      <c r="M306">
        <v>715604</v>
      </c>
      <c r="N306">
        <v>3.9</v>
      </c>
      <c r="O306" t="s">
        <v>42</v>
      </c>
      <c r="P306">
        <v>97</v>
      </c>
      <c r="Q306" t="str">
        <f t="shared" si="4"/>
        <v>Low</v>
      </c>
    </row>
    <row r="307" spans="1:17" x14ac:dyDescent="0.3">
      <c r="A307" t="s">
        <v>936</v>
      </c>
      <c r="B307" t="s">
        <v>937</v>
      </c>
      <c r="C307" t="s">
        <v>22</v>
      </c>
      <c r="D307" t="s">
        <v>15</v>
      </c>
      <c r="E307" t="s">
        <v>27</v>
      </c>
      <c r="F307" t="s">
        <v>938</v>
      </c>
      <c r="G307" t="str">
        <f>TEXT(Table1_1[[#This Row],[Joining_Date]],"mmm")</f>
        <v>Jun</v>
      </c>
      <c r="H307" t="str">
        <f>TEXT(Table1_1[[#This Row],[Joining_Date]],"yyyy")</f>
        <v>2018</v>
      </c>
      <c r="I307" s="1"/>
      <c r="J307" t="s">
        <v>29</v>
      </c>
      <c r="K307">
        <f>IF(Table1_1[[#This Row],[Status]]="Exited",1,0)</f>
        <v>0</v>
      </c>
      <c r="L307">
        <f>IF(Table1_1[[#This Row],[Status]]="Exited",0,1)</f>
        <v>1</v>
      </c>
      <c r="M307">
        <v>337120</v>
      </c>
      <c r="N307">
        <v>4.5</v>
      </c>
      <c r="O307" t="s">
        <v>19</v>
      </c>
      <c r="P307">
        <v>92.2</v>
      </c>
      <c r="Q307" t="str">
        <f t="shared" si="4"/>
        <v>High</v>
      </c>
    </row>
    <row r="308" spans="1:17" x14ac:dyDescent="0.3">
      <c r="A308" t="s">
        <v>939</v>
      </c>
      <c r="B308" t="s">
        <v>940</v>
      </c>
      <c r="C308" t="s">
        <v>54</v>
      </c>
      <c r="D308" t="s">
        <v>15</v>
      </c>
      <c r="E308" t="s">
        <v>50</v>
      </c>
      <c r="F308" t="s">
        <v>941</v>
      </c>
      <c r="G308" t="str">
        <f>TEXT(Table1_1[[#This Row],[Joining_Date]],"mmm")</f>
        <v>Aug</v>
      </c>
      <c r="H308" t="str">
        <f>TEXT(Table1_1[[#This Row],[Joining_Date]],"yyyy")</f>
        <v>2023</v>
      </c>
      <c r="I308" s="1"/>
      <c r="J308" t="s">
        <v>29</v>
      </c>
      <c r="K308">
        <f>IF(Table1_1[[#This Row],[Status]]="Exited",1,0)</f>
        <v>0</v>
      </c>
      <c r="L308">
        <f>IF(Table1_1[[#This Row],[Status]]="Exited",0,1)</f>
        <v>1</v>
      </c>
      <c r="M308">
        <v>1195439</v>
      </c>
      <c r="N308">
        <v>3.4</v>
      </c>
      <c r="O308" t="s">
        <v>19</v>
      </c>
      <c r="P308">
        <v>86.1</v>
      </c>
      <c r="Q308" t="str">
        <f t="shared" si="4"/>
        <v>Low</v>
      </c>
    </row>
    <row r="309" spans="1:17" x14ac:dyDescent="0.3">
      <c r="A309" t="s">
        <v>942</v>
      </c>
      <c r="B309" t="s">
        <v>943</v>
      </c>
      <c r="C309" t="s">
        <v>22</v>
      </c>
      <c r="D309" t="s">
        <v>33</v>
      </c>
      <c r="E309" t="s">
        <v>16</v>
      </c>
      <c r="F309" t="s">
        <v>944</v>
      </c>
      <c r="G309" t="str">
        <f>TEXT(Table1_1[[#This Row],[Joining_Date]],"mmm")</f>
        <v>Dec</v>
      </c>
      <c r="H309" t="str">
        <f>TEXT(Table1_1[[#This Row],[Joining_Date]],"yyyy")</f>
        <v>2018</v>
      </c>
      <c r="I309" s="1"/>
      <c r="J309" t="s">
        <v>29</v>
      </c>
      <c r="K309">
        <f>IF(Table1_1[[#This Row],[Status]]="Exited",1,0)</f>
        <v>0</v>
      </c>
      <c r="L309">
        <f>IF(Table1_1[[#This Row],[Status]]="Exited",0,1)</f>
        <v>1</v>
      </c>
      <c r="M309">
        <v>534158</v>
      </c>
      <c r="N309">
        <v>3.8</v>
      </c>
      <c r="O309" t="s">
        <v>42</v>
      </c>
      <c r="P309">
        <v>89.5</v>
      </c>
      <c r="Q309" t="str">
        <f t="shared" si="4"/>
        <v>Low</v>
      </c>
    </row>
    <row r="310" spans="1:17" x14ac:dyDescent="0.3">
      <c r="A310" t="s">
        <v>945</v>
      </c>
      <c r="B310" t="s">
        <v>946</v>
      </c>
      <c r="C310" t="s">
        <v>37</v>
      </c>
      <c r="D310" t="s">
        <v>10</v>
      </c>
      <c r="E310" t="s">
        <v>45</v>
      </c>
      <c r="F310" t="s">
        <v>330</v>
      </c>
      <c r="G310" t="str">
        <f>TEXT(Table1_1[[#This Row],[Joining_Date]],"mmm")</f>
        <v>Sep</v>
      </c>
      <c r="H310" t="str">
        <f>TEXT(Table1_1[[#This Row],[Joining_Date]],"yyyy")</f>
        <v>2021</v>
      </c>
      <c r="I310" s="1">
        <v>44971</v>
      </c>
      <c r="J310" t="s">
        <v>18</v>
      </c>
      <c r="K310">
        <f>IF(Table1_1[[#This Row],[Status]]="Exited",1,0)</f>
        <v>1</v>
      </c>
      <c r="L310">
        <f>IF(Table1_1[[#This Row],[Status]]="Exited",0,1)</f>
        <v>0</v>
      </c>
      <c r="M310">
        <v>210116</v>
      </c>
      <c r="N310">
        <v>4.2</v>
      </c>
      <c r="O310" t="s">
        <v>19</v>
      </c>
      <c r="P310">
        <v>93.2</v>
      </c>
      <c r="Q310" t="str">
        <f t="shared" si="4"/>
        <v>High</v>
      </c>
    </row>
    <row r="311" spans="1:17" x14ac:dyDescent="0.3">
      <c r="A311" t="s">
        <v>948</v>
      </c>
      <c r="B311" t="s">
        <v>949</v>
      </c>
      <c r="C311" t="s">
        <v>22</v>
      </c>
      <c r="D311" t="s">
        <v>49</v>
      </c>
      <c r="E311" t="s">
        <v>27</v>
      </c>
      <c r="F311" t="s">
        <v>950</v>
      </c>
      <c r="G311" t="str">
        <f>TEXT(Table1_1[[#This Row],[Joining_Date]],"mmm")</f>
        <v>Jan</v>
      </c>
      <c r="H311" t="str">
        <f>TEXT(Table1_1[[#This Row],[Joining_Date]],"yyyy")</f>
        <v>2019</v>
      </c>
      <c r="I311" s="1">
        <v>43661</v>
      </c>
      <c r="J311" t="s">
        <v>18</v>
      </c>
      <c r="K311">
        <f>IF(Table1_1[[#This Row],[Status]]="Exited",1,0)</f>
        <v>1</v>
      </c>
      <c r="L311">
        <f>IF(Table1_1[[#This Row],[Status]]="Exited",0,1)</f>
        <v>0</v>
      </c>
      <c r="M311">
        <v>679545</v>
      </c>
      <c r="N311">
        <v>4.5999999999999996</v>
      </c>
      <c r="O311" t="s">
        <v>24</v>
      </c>
      <c r="P311">
        <v>76</v>
      </c>
      <c r="Q311" t="str">
        <f t="shared" si="4"/>
        <v>High</v>
      </c>
    </row>
    <row r="312" spans="1:17" x14ac:dyDescent="0.3">
      <c r="A312" t="s">
        <v>952</v>
      </c>
      <c r="B312" t="s">
        <v>953</v>
      </c>
      <c r="C312" t="s">
        <v>14</v>
      </c>
      <c r="D312" t="s">
        <v>49</v>
      </c>
      <c r="E312" t="s">
        <v>27</v>
      </c>
      <c r="F312" t="s">
        <v>954</v>
      </c>
      <c r="G312" t="str">
        <f>TEXT(Table1_1[[#This Row],[Joining_Date]],"mmm")</f>
        <v>Jul</v>
      </c>
      <c r="H312" t="str">
        <f>TEXT(Table1_1[[#This Row],[Joining_Date]],"yyyy")</f>
        <v>2022</v>
      </c>
      <c r="I312" s="1"/>
      <c r="J312" t="s">
        <v>29</v>
      </c>
      <c r="K312">
        <f>IF(Table1_1[[#This Row],[Status]]="Exited",1,0)</f>
        <v>0</v>
      </c>
      <c r="L312">
        <f>IF(Table1_1[[#This Row],[Status]]="Exited",0,1)</f>
        <v>1</v>
      </c>
      <c r="M312">
        <v>996787</v>
      </c>
      <c r="N312">
        <v>2.9</v>
      </c>
      <c r="O312" t="s">
        <v>42</v>
      </c>
      <c r="P312">
        <v>85.1</v>
      </c>
      <c r="Q312" t="str">
        <f t="shared" si="4"/>
        <v>Low</v>
      </c>
    </row>
    <row r="313" spans="1:17" x14ac:dyDescent="0.3">
      <c r="A313" t="s">
        <v>955</v>
      </c>
      <c r="B313" t="s">
        <v>956</v>
      </c>
      <c r="C313" t="s">
        <v>22</v>
      </c>
      <c r="D313" t="s">
        <v>49</v>
      </c>
      <c r="E313" t="s">
        <v>50</v>
      </c>
      <c r="F313" t="s">
        <v>957</v>
      </c>
      <c r="G313" t="str">
        <f>TEXT(Table1_1[[#This Row],[Joining_Date]],"mmm")</f>
        <v>Jul</v>
      </c>
      <c r="H313" t="str">
        <f>TEXT(Table1_1[[#This Row],[Joining_Date]],"yyyy")</f>
        <v>2022</v>
      </c>
      <c r="I313" s="1">
        <v>44922</v>
      </c>
      <c r="J313" t="s">
        <v>18</v>
      </c>
      <c r="K313">
        <f>IF(Table1_1[[#This Row],[Status]]="Exited",1,0)</f>
        <v>1</v>
      </c>
      <c r="L313">
        <f>IF(Table1_1[[#This Row],[Status]]="Exited",0,1)</f>
        <v>0</v>
      </c>
      <c r="M313">
        <v>713524</v>
      </c>
      <c r="N313">
        <v>3.8</v>
      </c>
      <c r="O313" t="s">
        <v>30</v>
      </c>
      <c r="P313">
        <v>77.900000000000006</v>
      </c>
      <c r="Q313" t="str">
        <f t="shared" si="4"/>
        <v>Low</v>
      </c>
    </row>
    <row r="314" spans="1:17" x14ac:dyDescent="0.3">
      <c r="A314" t="s">
        <v>959</v>
      </c>
      <c r="B314" t="s">
        <v>960</v>
      </c>
      <c r="C314" t="s">
        <v>14</v>
      </c>
      <c r="D314" t="s">
        <v>10</v>
      </c>
      <c r="E314" t="s">
        <v>50</v>
      </c>
      <c r="F314" t="s">
        <v>961</v>
      </c>
      <c r="G314" t="str">
        <f>TEXT(Table1_1[[#This Row],[Joining_Date]],"mmm")</f>
        <v>Feb</v>
      </c>
      <c r="H314" t="str">
        <f>TEXT(Table1_1[[#This Row],[Joining_Date]],"yyyy")</f>
        <v>2022</v>
      </c>
      <c r="I314" s="1">
        <v>45331</v>
      </c>
      <c r="J314" t="s">
        <v>18</v>
      </c>
      <c r="K314">
        <f>IF(Table1_1[[#This Row],[Status]]="Exited",1,0)</f>
        <v>1</v>
      </c>
      <c r="L314">
        <f>IF(Table1_1[[#This Row],[Status]]="Exited",0,1)</f>
        <v>0</v>
      </c>
      <c r="M314">
        <v>808906</v>
      </c>
      <c r="N314">
        <v>3.7</v>
      </c>
      <c r="O314" t="s">
        <v>42</v>
      </c>
      <c r="P314">
        <v>85.9</v>
      </c>
      <c r="Q314" t="str">
        <f t="shared" si="4"/>
        <v>Low</v>
      </c>
    </row>
    <row r="315" spans="1:17" x14ac:dyDescent="0.3">
      <c r="A315" t="s">
        <v>962</v>
      </c>
      <c r="B315" t="s">
        <v>963</v>
      </c>
      <c r="C315" t="s">
        <v>54</v>
      </c>
      <c r="D315" t="s">
        <v>49</v>
      </c>
      <c r="E315" t="s">
        <v>45</v>
      </c>
      <c r="F315" t="s">
        <v>964</v>
      </c>
      <c r="G315" t="str">
        <f>TEXT(Table1_1[[#This Row],[Joining_Date]],"mmm")</f>
        <v>Jun</v>
      </c>
      <c r="H315" t="str">
        <f>TEXT(Table1_1[[#This Row],[Joining_Date]],"yyyy")</f>
        <v>2021</v>
      </c>
      <c r="I315" s="1">
        <v>45253</v>
      </c>
      <c r="J315" t="s">
        <v>18</v>
      </c>
      <c r="K315">
        <f>IF(Table1_1[[#This Row],[Status]]="Exited",1,0)</f>
        <v>1</v>
      </c>
      <c r="L315">
        <f>IF(Table1_1[[#This Row],[Status]]="Exited",0,1)</f>
        <v>0</v>
      </c>
      <c r="M315">
        <v>235393</v>
      </c>
      <c r="N315">
        <v>3.5</v>
      </c>
      <c r="O315" t="s">
        <v>30</v>
      </c>
      <c r="P315">
        <v>98.3</v>
      </c>
      <c r="Q315" t="str">
        <f t="shared" si="4"/>
        <v>Low</v>
      </c>
    </row>
    <row r="316" spans="1:17" x14ac:dyDescent="0.3">
      <c r="A316" t="s">
        <v>965</v>
      </c>
      <c r="B316" t="s">
        <v>966</v>
      </c>
      <c r="C316" t="s">
        <v>14</v>
      </c>
      <c r="D316" t="s">
        <v>10</v>
      </c>
      <c r="E316" t="s">
        <v>50</v>
      </c>
      <c r="F316" t="s">
        <v>967</v>
      </c>
      <c r="G316" t="str">
        <f>TEXT(Table1_1[[#This Row],[Joining_Date]],"mmm")</f>
        <v>Apr</v>
      </c>
      <c r="H316" t="str">
        <f>TEXT(Table1_1[[#This Row],[Joining_Date]],"yyyy")</f>
        <v>2024</v>
      </c>
      <c r="I316" s="1"/>
      <c r="J316" t="s">
        <v>29</v>
      </c>
      <c r="K316">
        <f>IF(Table1_1[[#This Row],[Status]]="Exited",1,0)</f>
        <v>0</v>
      </c>
      <c r="L316">
        <f>IF(Table1_1[[#This Row],[Status]]="Exited",0,1)</f>
        <v>1</v>
      </c>
      <c r="M316">
        <v>1186684</v>
      </c>
      <c r="N316">
        <v>2.7</v>
      </c>
      <c r="O316" t="s">
        <v>30</v>
      </c>
      <c r="P316">
        <v>98.1</v>
      </c>
      <c r="Q316" t="str">
        <f t="shared" si="4"/>
        <v>Low</v>
      </c>
    </row>
    <row r="317" spans="1:17" x14ac:dyDescent="0.3">
      <c r="A317" t="s">
        <v>968</v>
      </c>
      <c r="B317" t="s">
        <v>969</v>
      </c>
      <c r="C317" t="s">
        <v>14</v>
      </c>
      <c r="D317" t="s">
        <v>33</v>
      </c>
      <c r="E317" t="s">
        <v>50</v>
      </c>
      <c r="F317" t="s">
        <v>564</v>
      </c>
      <c r="G317" t="str">
        <f>TEXT(Table1_1[[#This Row],[Joining_Date]],"mmm")</f>
        <v>Jan</v>
      </c>
      <c r="H317" t="str">
        <f>TEXT(Table1_1[[#This Row],[Joining_Date]],"yyyy")</f>
        <v>2023</v>
      </c>
      <c r="I317" s="1"/>
      <c r="J317" t="s">
        <v>29</v>
      </c>
      <c r="K317">
        <f>IF(Table1_1[[#This Row],[Status]]="Exited",1,0)</f>
        <v>0</v>
      </c>
      <c r="L317">
        <f>IF(Table1_1[[#This Row],[Status]]="Exited",0,1)</f>
        <v>1</v>
      </c>
      <c r="M317">
        <v>447697</v>
      </c>
      <c r="N317">
        <v>4.2</v>
      </c>
      <c r="O317" t="s">
        <v>19</v>
      </c>
      <c r="P317">
        <v>92.8</v>
      </c>
      <c r="Q317" t="str">
        <f t="shared" si="4"/>
        <v>High</v>
      </c>
    </row>
    <row r="318" spans="1:17" x14ac:dyDescent="0.3">
      <c r="A318" t="s">
        <v>970</v>
      </c>
      <c r="B318" t="s">
        <v>971</v>
      </c>
      <c r="C318" t="s">
        <v>54</v>
      </c>
      <c r="D318" t="s">
        <v>10</v>
      </c>
      <c r="E318" t="s">
        <v>50</v>
      </c>
      <c r="F318" t="s">
        <v>972</v>
      </c>
      <c r="G318" t="str">
        <f>TEXT(Table1_1[[#This Row],[Joining_Date]],"mmm")</f>
        <v>Oct</v>
      </c>
      <c r="H318" t="str">
        <f>TEXT(Table1_1[[#This Row],[Joining_Date]],"yyyy")</f>
        <v>2020</v>
      </c>
      <c r="I318" s="1">
        <v>44956</v>
      </c>
      <c r="J318" t="s">
        <v>18</v>
      </c>
      <c r="K318">
        <f>IF(Table1_1[[#This Row],[Status]]="Exited",1,0)</f>
        <v>1</v>
      </c>
      <c r="L318">
        <f>IF(Table1_1[[#This Row],[Status]]="Exited",0,1)</f>
        <v>0</v>
      </c>
      <c r="M318">
        <v>325033</v>
      </c>
      <c r="N318">
        <v>4.5999999999999996</v>
      </c>
      <c r="O318" t="s">
        <v>24</v>
      </c>
      <c r="P318">
        <v>75.2</v>
      </c>
      <c r="Q318" t="str">
        <f t="shared" si="4"/>
        <v>High</v>
      </c>
    </row>
    <row r="319" spans="1:17" x14ac:dyDescent="0.3">
      <c r="A319" t="s">
        <v>973</v>
      </c>
      <c r="B319" t="s">
        <v>974</v>
      </c>
      <c r="C319" t="s">
        <v>61</v>
      </c>
      <c r="D319" t="s">
        <v>33</v>
      </c>
      <c r="E319" t="s">
        <v>50</v>
      </c>
      <c r="F319" t="s">
        <v>975</v>
      </c>
      <c r="G319" t="str">
        <f>TEXT(Table1_1[[#This Row],[Joining_Date]],"mmm")</f>
        <v>Feb</v>
      </c>
      <c r="H319" t="str">
        <f>TEXT(Table1_1[[#This Row],[Joining_Date]],"yyyy")</f>
        <v>2020</v>
      </c>
      <c r="I319" s="1">
        <v>44373</v>
      </c>
      <c r="J319" t="s">
        <v>18</v>
      </c>
      <c r="K319">
        <f>IF(Table1_1[[#This Row],[Status]]="Exited",1,0)</f>
        <v>1</v>
      </c>
      <c r="L319">
        <f>IF(Table1_1[[#This Row],[Status]]="Exited",0,1)</f>
        <v>0</v>
      </c>
      <c r="M319">
        <v>644851</v>
      </c>
      <c r="N319">
        <v>3.1</v>
      </c>
      <c r="O319" t="s">
        <v>24</v>
      </c>
      <c r="P319">
        <v>83.3</v>
      </c>
      <c r="Q319" t="str">
        <f t="shared" si="4"/>
        <v>Low</v>
      </c>
    </row>
    <row r="320" spans="1:17" x14ac:dyDescent="0.3">
      <c r="A320" t="s">
        <v>976</v>
      </c>
      <c r="B320" t="s">
        <v>977</v>
      </c>
      <c r="C320" t="s">
        <v>54</v>
      </c>
      <c r="D320" t="s">
        <v>15</v>
      </c>
      <c r="E320" t="s">
        <v>45</v>
      </c>
      <c r="F320" t="s">
        <v>978</v>
      </c>
      <c r="G320" t="str">
        <f>TEXT(Table1_1[[#This Row],[Joining_Date]],"mmm")</f>
        <v>Sep</v>
      </c>
      <c r="H320" t="str">
        <f>TEXT(Table1_1[[#This Row],[Joining_Date]],"yyyy")</f>
        <v>2022</v>
      </c>
      <c r="I320" s="1"/>
      <c r="J320" t="s">
        <v>29</v>
      </c>
      <c r="K320">
        <f>IF(Table1_1[[#This Row],[Status]]="Exited",1,0)</f>
        <v>0</v>
      </c>
      <c r="L320">
        <f>IF(Table1_1[[#This Row],[Status]]="Exited",0,1)</f>
        <v>1</v>
      </c>
      <c r="M320">
        <v>1097494</v>
      </c>
      <c r="N320">
        <v>2.8</v>
      </c>
      <c r="O320" t="s">
        <v>42</v>
      </c>
      <c r="P320">
        <v>99.4</v>
      </c>
      <c r="Q320" t="str">
        <f t="shared" si="4"/>
        <v>Low</v>
      </c>
    </row>
    <row r="321" spans="1:17" x14ac:dyDescent="0.3">
      <c r="A321" t="s">
        <v>979</v>
      </c>
      <c r="B321" t="s">
        <v>980</v>
      </c>
      <c r="C321" t="s">
        <v>14</v>
      </c>
      <c r="D321" t="s">
        <v>10</v>
      </c>
      <c r="E321" t="s">
        <v>50</v>
      </c>
      <c r="F321" t="s">
        <v>981</v>
      </c>
      <c r="G321" t="str">
        <f>TEXT(Table1_1[[#This Row],[Joining_Date]],"mmm")</f>
        <v>Sep</v>
      </c>
      <c r="H321" t="str">
        <f>TEXT(Table1_1[[#This Row],[Joining_Date]],"yyyy")</f>
        <v>2023</v>
      </c>
      <c r="I321" s="1">
        <v>45388</v>
      </c>
      <c r="J321" t="s">
        <v>18</v>
      </c>
      <c r="K321">
        <f>IF(Table1_1[[#This Row],[Status]]="Exited",1,0)</f>
        <v>1</v>
      </c>
      <c r="L321">
        <f>IF(Table1_1[[#This Row],[Status]]="Exited",0,1)</f>
        <v>0</v>
      </c>
      <c r="M321">
        <v>1062324</v>
      </c>
      <c r="N321">
        <v>5</v>
      </c>
      <c r="O321" t="s">
        <v>30</v>
      </c>
      <c r="P321">
        <v>75.5</v>
      </c>
      <c r="Q321" t="str">
        <f t="shared" si="4"/>
        <v>High</v>
      </c>
    </row>
    <row r="322" spans="1:17" x14ac:dyDescent="0.3">
      <c r="A322" t="s">
        <v>982</v>
      </c>
      <c r="B322" t="s">
        <v>983</v>
      </c>
      <c r="C322" t="s">
        <v>54</v>
      </c>
      <c r="D322" t="s">
        <v>33</v>
      </c>
      <c r="E322" t="s">
        <v>16</v>
      </c>
      <c r="F322" t="s">
        <v>984</v>
      </c>
      <c r="G322" t="str">
        <f>TEXT(Table1_1[[#This Row],[Joining_Date]],"mmm")</f>
        <v>Jul</v>
      </c>
      <c r="H322" t="str">
        <f>TEXT(Table1_1[[#This Row],[Joining_Date]],"yyyy")</f>
        <v>2019</v>
      </c>
      <c r="I322" s="1"/>
      <c r="J322" t="s">
        <v>29</v>
      </c>
      <c r="K322">
        <f>IF(Table1_1[[#This Row],[Status]]="Exited",1,0)</f>
        <v>0</v>
      </c>
      <c r="L322">
        <f>IF(Table1_1[[#This Row],[Status]]="Exited",0,1)</f>
        <v>1</v>
      </c>
      <c r="M322">
        <v>331816</v>
      </c>
      <c r="N322">
        <v>2.9</v>
      </c>
      <c r="O322" t="s">
        <v>30</v>
      </c>
      <c r="P322">
        <v>85.8</v>
      </c>
      <c r="Q322" t="str">
        <f t="shared" ref="Q322:Q385" si="5">IF(AND(N322&gt;4,P322&gt;=75),"High",
 IF(AND(N322&gt;2,N322&lt;=4,P322&gt;40,P322&lt;=74),"Average","Low"))</f>
        <v>Low</v>
      </c>
    </row>
    <row r="323" spans="1:17" x14ac:dyDescent="0.3">
      <c r="A323" t="s">
        <v>985</v>
      </c>
      <c r="B323" t="s">
        <v>986</v>
      </c>
      <c r="C323" t="s">
        <v>61</v>
      </c>
      <c r="D323" t="s">
        <v>33</v>
      </c>
      <c r="E323" t="s">
        <v>50</v>
      </c>
      <c r="F323" t="s">
        <v>987</v>
      </c>
      <c r="G323" t="str">
        <f>TEXT(Table1_1[[#This Row],[Joining_Date]],"mmm")</f>
        <v>Sep</v>
      </c>
      <c r="H323" t="str">
        <f>TEXT(Table1_1[[#This Row],[Joining_Date]],"yyyy")</f>
        <v>2019</v>
      </c>
      <c r="I323" s="1"/>
      <c r="J323" t="s">
        <v>29</v>
      </c>
      <c r="K323">
        <f>IF(Table1_1[[#This Row],[Status]]="Exited",1,0)</f>
        <v>0</v>
      </c>
      <c r="L323">
        <f>IF(Table1_1[[#This Row],[Status]]="Exited",0,1)</f>
        <v>1</v>
      </c>
      <c r="M323">
        <v>746649</v>
      </c>
      <c r="N323">
        <v>3.5</v>
      </c>
      <c r="O323" t="s">
        <v>42</v>
      </c>
      <c r="P323">
        <v>91.5</v>
      </c>
      <c r="Q323" t="str">
        <f t="shared" si="5"/>
        <v>Low</v>
      </c>
    </row>
    <row r="324" spans="1:17" x14ac:dyDescent="0.3">
      <c r="A324" t="s">
        <v>988</v>
      </c>
      <c r="B324" t="s">
        <v>989</v>
      </c>
      <c r="C324" t="s">
        <v>54</v>
      </c>
      <c r="D324" t="s">
        <v>33</v>
      </c>
      <c r="E324" t="s">
        <v>50</v>
      </c>
      <c r="F324" t="s">
        <v>990</v>
      </c>
      <c r="G324" t="str">
        <f>TEXT(Table1_1[[#This Row],[Joining_Date]],"mmm")</f>
        <v>Aug</v>
      </c>
      <c r="H324" t="str">
        <f>TEXT(Table1_1[[#This Row],[Joining_Date]],"yyyy")</f>
        <v>2023</v>
      </c>
      <c r="I324" s="1"/>
      <c r="J324" t="s">
        <v>29</v>
      </c>
      <c r="K324">
        <f>IF(Table1_1[[#This Row],[Status]]="Exited",1,0)</f>
        <v>0</v>
      </c>
      <c r="L324">
        <f>IF(Table1_1[[#This Row],[Status]]="Exited",0,1)</f>
        <v>1</v>
      </c>
      <c r="M324">
        <v>1019757</v>
      </c>
      <c r="N324">
        <v>2.7</v>
      </c>
      <c r="O324" t="s">
        <v>24</v>
      </c>
      <c r="P324">
        <v>81.3</v>
      </c>
      <c r="Q324" t="str">
        <f t="shared" si="5"/>
        <v>Low</v>
      </c>
    </row>
    <row r="325" spans="1:17" x14ac:dyDescent="0.3">
      <c r="A325" t="s">
        <v>991</v>
      </c>
      <c r="B325" t="s">
        <v>992</v>
      </c>
      <c r="C325" t="s">
        <v>61</v>
      </c>
      <c r="D325" t="s">
        <v>15</v>
      </c>
      <c r="E325" t="s">
        <v>50</v>
      </c>
      <c r="F325" t="s">
        <v>993</v>
      </c>
      <c r="G325" t="str">
        <f>TEXT(Table1_1[[#This Row],[Joining_Date]],"mmm")</f>
        <v>Sep</v>
      </c>
      <c r="H325" t="str">
        <f>TEXT(Table1_1[[#This Row],[Joining_Date]],"yyyy")</f>
        <v>2021</v>
      </c>
      <c r="I325" s="1"/>
      <c r="J325" t="s">
        <v>29</v>
      </c>
      <c r="K325">
        <f>IF(Table1_1[[#This Row],[Status]]="Exited",1,0)</f>
        <v>0</v>
      </c>
      <c r="L325">
        <f>IF(Table1_1[[#This Row],[Status]]="Exited",0,1)</f>
        <v>1</v>
      </c>
      <c r="M325">
        <v>978350</v>
      </c>
      <c r="N325">
        <v>2</v>
      </c>
      <c r="O325" t="s">
        <v>19</v>
      </c>
      <c r="P325">
        <v>93.9</v>
      </c>
      <c r="Q325" t="str">
        <f t="shared" si="5"/>
        <v>Low</v>
      </c>
    </row>
    <row r="326" spans="1:17" x14ac:dyDescent="0.3">
      <c r="A326" t="s">
        <v>994</v>
      </c>
      <c r="B326" t="s">
        <v>995</v>
      </c>
      <c r="C326" t="s">
        <v>54</v>
      </c>
      <c r="D326" t="s">
        <v>10</v>
      </c>
      <c r="E326" t="s">
        <v>45</v>
      </c>
      <c r="F326" t="s">
        <v>996</v>
      </c>
      <c r="G326" t="str">
        <f>TEXT(Table1_1[[#This Row],[Joining_Date]],"mmm")</f>
        <v>Oct</v>
      </c>
      <c r="H326" t="str">
        <f>TEXT(Table1_1[[#This Row],[Joining_Date]],"yyyy")</f>
        <v>2021</v>
      </c>
      <c r="I326" s="1">
        <v>45514</v>
      </c>
      <c r="J326" t="s">
        <v>18</v>
      </c>
      <c r="K326">
        <f>IF(Table1_1[[#This Row],[Status]]="Exited",1,0)</f>
        <v>1</v>
      </c>
      <c r="L326">
        <f>IF(Table1_1[[#This Row],[Status]]="Exited",0,1)</f>
        <v>0</v>
      </c>
      <c r="M326">
        <v>587752</v>
      </c>
      <c r="N326">
        <v>3.6</v>
      </c>
      <c r="O326" t="s">
        <v>24</v>
      </c>
      <c r="P326">
        <v>95.7</v>
      </c>
      <c r="Q326" t="str">
        <f t="shared" si="5"/>
        <v>Low</v>
      </c>
    </row>
    <row r="327" spans="1:17" x14ac:dyDescent="0.3">
      <c r="A327" t="s">
        <v>997</v>
      </c>
      <c r="B327" t="s">
        <v>998</v>
      </c>
      <c r="C327" t="s">
        <v>61</v>
      </c>
      <c r="D327" t="s">
        <v>49</v>
      </c>
      <c r="E327" t="s">
        <v>45</v>
      </c>
      <c r="F327" t="s">
        <v>999</v>
      </c>
      <c r="G327" t="str">
        <f>TEXT(Table1_1[[#This Row],[Joining_Date]],"mmm")</f>
        <v>Feb</v>
      </c>
      <c r="H327" t="str">
        <f>TEXT(Table1_1[[#This Row],[Joining_Date]],"yyyy")</f>
        <v>2020</v>
      </c>
      <c r="I327" s="1">
        <v>45307</v>
      </c>
      <c r="J327" t="s">
        <v>18</v>
      </c>
      <c r="K327">
        <f>IF(Table1_1[[#This Row],[Status]]="Exited",1,0)</f>
        <v>1</v>
      </c>
      <c r="L327">
        <f>IF(Table1_1[[#This Row],[Status]]="Exited",0,1)</f>
        <v>0</v>
      </c>
      <c r="M327">
        <v>999571</v>
      </c>
      <c r="N327">
        <v>3.8</v>
      </c>
      <c r="O327" t="s">
        <v>30</v>
      </c>
      <c r="P327">
        <v>99.8</v>
      </c>
      <c r="Q327" t="str">
        <f t="shared" si="5"/>
        <v>Low</v>
      </c>
    </row>
    <row r="328" spans="1:17" x14ac:dyDescent="0.3">
      <c r="A328" t="s">
        <v>1000</v>
      </c>
      <c r="B328" t="s">
        <v>1001</v>
      </c>
      <c r="C328" t="s">
        <v>61</v>
      </c>
      <c r="D328" t="s">
        <v>10</v>
      </c>
      <c r="E328" t="s">
        <v>16</v>
      </c>
      <c r="F328" t="s">
        <v>1002</v>
      </c>
      <c r="G328" t="str">
        <f>TEXT(Table1_1[[#This Row],[Joining_Date]],"mmm")</f>
        <v>Jul</v>
      </c>
      <c r="H328" t="str">
        <f>TEXT(Table1_1[[#This Row],[Joining_Date]],"yyyy")</f>
        <v>2022</v>
      </c>
      <c r="I328" s="1">
        <v>45179</v>
      </c>
      <c r="J328" t="s">
        <v>18</v>
      </c>
      <c r="K328">
        <f>IF(Table1_1[[#This Row],[Status]]="Exited",1,0)</f>
        <v>1</v>
      </c>
      <c r="L328">
        <f>IF(Table1_1[[#This Row],[Status]]="Exited",0,1)</f>
        <v>0</v>
      </c>
      <c r="M328">
        <v>861916</v>
      </c>
      <c r="N328">
        <v>3.8</v>
      </c>
      <c r="O328" t="s">
        <v>24</v>
      </c>
      <c r="P328">
        <v>83.3</v>
      </c>
      <c r="Q328" t="str">
        <f t="shared" si="5"/>
        <v>Low</v>
      </c>
    </row>
    <row r="329" spans="1:17" x14ac:dyDescent="0.3">
      <c r="A329" t="s">
        <v>1003</v>
      </c>
      <c r="B329" t="s">
        <v>1004</v>
      </c>
      <c r="C329" t="s">
        <v>22</v>
      </c>
      <c r="D329" t="s">
        <v>49</v>
      </c>
      <c r="E329" t="s">
        <v>45</v>
      </c>
      <c r="F329" t="s">
        <v>1005</v>
      </c>
      <c r="G329" t="str">
        <f>TEXT(Table1_1[[#This Row],[Joining_Date]],"mmm")</f>
        <v>Jan</v>
      </c>
      <c r="H329" t="str">
        <f>TEXT(Table1_1[[#This Row],[Joining_Date]],"yyyy")</f>
        <v>2021</v>
      </c>
      <c r="I329" s="1"/>
      <c r="J329" t="s">
        <v>29</v>
      </c>
      <c r="K329">
        <f>IF(Table1_1[[#This Row],[Status]]="Exited",1,0)</f>
        <v>0</v>
      </c>
      <c r="L329">
        <f>IF(Table1_1[[#This Row],[Status]]="Exited",0,1)</f>
        <v>1</v>
      </c>
      <c r="M329">
        <v>1122092</v>
      </c>
      <c r="N329">
        <v>2.2000000000000002</v>
      </c>
      <c r="O329" t="s">
        <v>42</v>
      </c>
      <c r="P329">
        <v>75.599999999999994</v>
      </c>
      <c r="Q329" t="str">
        <f t="shared" si="5"/>
        <v>Low</v>
      </c>
    </row>
    <row r="330" spans="1:17" x14ac:dyDescent="0.3">
      <c r="A330" t="s">
        <v>1006</v>
      </c>
      <c r="B330" t="s">
        <v>1007</v>
      </c>
      <c r="C330" t="s">
        <v>54</v>
      </c>
      <c r="D330" t="s">
        <v>33</v>
      </c>
      <c r="E330" t="s">
        <v>45</v>
      </c>
      <c r="F330" t="s">
        <v>1008</v>
      </c>
      <c r="G330" t="str">
        <f>TEXT(Table1_1[[#This Row],[Joining_Date]],"mmm")</f>
        <v>Oct</v>
      </c>
      <c r="H330" t="str">
        <f>TEXT(Table1_1[[#This Row],[Joining_Date]],"yyyy")</f>
        <v>2023</v>
      </c>
      <c r="I330" s="1"/>
      <c r="J330" t="s">
        <v>29</v>
      </c>
      <c r="K330">
        <f>IF(Table1_1[[#This Row],[Status]]="Exited",1,0)</f>
        <v>0</v>
      </c>
      <c r="L330">
        <f>IF(Table1_1[[#This Row],[Status]]="Exited",0,1)</f>
        <v>1</v>
      </c>
      <c r="M330">
        <v>1133526</v>
      </c>
      <c r="N330">
        <v>3.1</v>
      </c>
      <c r="O330" t="s">
        <v>24</v>
      </c>
      <c r="P330">
        <v>86.1</v>
      </c>
      <c r="Q330" t="str">
        <f t="shared" si="5"/>
        <v>Low</v>
      </c>
    </row>
    <row r="331" spans="1:17" x14ac:dyDescent="0.3">
      <c r="A331" t="s">
        <v>1009</v>
      </c>
      <c r="B331" t="s">
        <v>1010</v>
      </c>
      <c r="C331" t="s">
        <v>54</v>
      </c>
      <c r="D331" t="s">
        <v>33</v>
      </c>
      <c r="E331" t="s">
        <v>16</v>
      </c>
      <c r="F331" t="s">
        <v>330</v>
      </c>
      <c r="G331" t="str">
        <f>TEXT(Table1_1[[#This Row],[Joining_Date]],"mmm")</f>
        <v>Sep</v>
      </c>
      <c r="H331" t="str">
        <f>TEXT(Table1_1[[#This Row],[Joining_Date]],"yyyy")</f>
        <v>2021</v>
      </c>
      <c r="I331" s="1"/>
      <c r="J331" t="s">
        <v>29</v>
      </c>
      <c r="K331">
        <f>IF(Table1_1[[#This Row],[Status]]="Exited",1,0)</f>
        <v>0</v>
      </c>
      <c r="L331">
        <f>IF(Table1_1[[#This Row],[Status]]="Exited",0,1)</f>
        <v>1</v>
      </c>
      <c r="M331">
        <v>254174</v>
      </c>
      <c r="N331">
        <v>3.6</v>
      </c>
      <c r="O331" t="s">
        <v>30</v>
      </c>
      <c r="P331">
        <v>81.5</v>
      </c>
      <c r="Q331" t="str">
        <f t="shared" si="5"/>
        <v>Low</v>
      </c>
    </row>
    <row r="332" spans="1:17" x14ac:dyDescent="0.3">
      <c r="A332" t="s">
        <v>1011</v>
      </c>
      <c r="B332" t="s">
        <v>1012</v>
      </c>
      <c r="C332" t="s">
        <v>54</v>
      </c>
      <c r="D332" t="s">
        <v>49</v>
      </c>
      <c r="E332" t="s">
        <v>50</v>
      </c>
      <c r="F332" t="s">
        <v>1013</v>
      </c>
      <c r="G332" t="str">
        <f>TEXT(Table1_1[[#This Row],[Joining_Date]],"mmm")</f>
        <v>Oct</v>
      </c>
      <c r="H332" t="str">
        <f>TEXT(Table1_1[[#This Row],[Joining_Date]],"yyyy")</f>
        <v>2023</v>
      </c>
      <c r="I332" s="1"/>
      <c r="J332" t="s">
        <v>29</v>
      </c>
      <c r="K332">
        <f>IF(Table1_1[[#This Row],[Status]]="Exited",1,0)</f>
        <v>0</v>
      </c>
      <c r="L332">
        <f>IF(Table1_1[[#This Row],[Status]]="Exited",0,1)</f>
        <v>1</v>
      </c>
      <c r="M332">
        <v>1165406</v>
      </c>
      <c r="N332">
        <v>3.8</v>
      </c>
      <c r="O332" t="s">
        <v>42</v>
      </c>
      <c r="P332">
        <v>84.2</v>
      </c>
      <c r="Q332" t="str">
        <f t="shared" si="5"/>
        <v>Low</v>
      </c>
    </row>
    <row r="333" spans="1:17" x14ac:dyDescent="0.3">
      <c r="A333" t="s">
        <v>1014</v>
      </c>
      <c r="B333" t="s">
        <v>1015</v>
      </c>
      <c r="C333" t="s">
        <v>22</v>
      </c>
      <c r="D333" t="s">
        <v>15</v>
      </c>
      <c r="E333" t="s">
        <v>16</v>
      </c>
      <c r="F333" t="s">
        <v>1016</v>
      </c>
      <c r="G333" t="str">
        <f>TEXT(Table1_1[[#This Row],[Joining_Date]],"mmm")</f>
        <v>Jul</v>
      </c>
      <c r="H333" t="str">
        <f>TEXT(Table1_1[[#This Row],[Joining_Date]],"yyyy")</f>
        <v>2024</v>
      </c>
      <c r="I333" s="1"/>
      <c r="J333" t="s">
        <v>29</v>
      </c>
      <c r="K333">
        <f>IF(Table1_1[[#This Row],[Status]]="Exited",1,0)</f>
        <v>0</v>
      </c>
      <c r="L333">
        <f>IF(Table1_1[[#This Row],[Status]]="Exited",0,1)</f>
        <v>1</v>
      </c>
      <c r="M333">
        <v>630464</v>
      </c>
      <c r="N333">
        <v>3.6</v>
      </c>
      <c r="O333" t="s">
        <v>42</v>
      </c>
      <c r="P333">
        <v>87.5</v>
      </c>
      <c r="Q333" t="str">
        <f t="shared" si="5"/>
        <v>Low</v>
      </c>
    </row>
    <row r="334" spans="1:17" x14ac:dyDescent="0.3">
      <c r="A334" t="s">
        <v>1017</v>
      </c>
      <c r="B334" t="s">
        <v>1018</v>
      </c>
      <c r="C334" t="s">
        <v>54</v>
      </c>
      <c r="D334" t="s">
        <v>49</v>
      </c>
      <c r="E334" t="s">
        <v>16</v>
      </c>
      <c r="F334" t="s">
        <v>1019</v>
      </c>
      <c r="G334" t="str">
        <f>TEXT(Table1_1[[#This Row],[Joining_Date]],"mmm")</f>
        <v>Feb</v>
      </c>
      <c r="H334" t="str">
        <f>TEXT(Table1_1[[#This Row],[Joining_Date]],"yyyy")</f>
        <v>2018</v>
      </c>
      <c r="I334" s="1"/>
      <c r="J334" t="s">
        <v>29</v>
      </c>
      <c r="K334">
        <f>IF(Table1_1[[#This Row],[Status]]="Exited",1,0)</f>
        <v>0</v>
      </c>
      <c r="L334">
        <f>IF(Table1_1[[#This Row],[Status]]="Exited",0,1)</f>
        <v>1</v>
      </c>
      <c r="M334">
        <v>666617</v>
      </c>
      <c r="N334">
        <v>4.5999999999999996</v>
      </c>
      <c r="O334" t="s">
        <v>19</v>
      </c>
      <c r="P334">
        <v>93.2</v>
      </c>
      <c r="Q334" t="str">
        <f t="shared" si="5"/>
        <v>High</v>
      </c>
    </row>
    <row r="335" spans="1:17" x14ac:dyDescent="0.3">
      <c r="A335" t="s">
        <v>1020</v>
      </c>
      <c r="B335" t="s">
        <v>1021</v>
      </c>
      <c r="C335" t="s">
        <v>61</v>
      </c>
      <c r="D335" t="s">
        <v>33</v>
      </c>
      <c r="E335" t="s">
        <v>50</v>
      </c>
      <c r="F335" t="s">
        <v>140</v>
      </c>
      <c r="G335" t="str">
        <f>TEXT(Table1_1[[#This Row],[Joining_Date]],"mmm")</f>
        <v>Nov</v>
      </c>
      <c r="H335" t="str">
        <f>TEXT(Table1_1[[#This Row],[Joining_Date]],"yyyy")</f>
        <v>2021</v>
      </c>
      <c r="I335" s="1"/>
      <c r="J335" t="s">
        <v>29</v>
      </c>
      <c r="K335">
        <f>IF(Table1_1[[#This Row],[Status]]="Exited",1,0)</f>
        <v>0</v>
      </c>
      <c r="L335">
        <f>IF(Table1_1[[#This Row],[Status]]="Exited",0,1)</f>
        <v>1</v>
      </c>
      <c r="M335">
        <v>484085</v>
      </c>
      <c r="N335">
        <v>2.1</v>
      </c>
      <c r="O335" t="s">
        <v>24</v>
      </c>
      <c r="P335">
        <v>89.2</v>
      </c>
      <c r="Q335" t="str">
        <f t="shared" si="5"/>
        <v>Low</v>
      </c>
    </row>
    <row r="336" spans="1:17" x14ac:dyDescent="0.3">
      <c r="A336" t="s">
        <v>1022</v>
      </c>
      <c r="B336" t="s">
        <v>1023</v>
      </c>
      <c r="C336" t="s">
        <v>22</v>
      </c>
      <c r="D336" t="s">
        <v>10</v>
      </c>
      <c r="E336" t="s">
        <v>45</v>
      </c>
      <c r="F336" t="s">
        <v>1024</v>
      </c>
      <c r="G336" t="str">
        <f>TEXT(Table1_1[[#This Row],[Joining_Date]],"mmm")</f>
        <v>May</v>
      </c>
      <c r="H336" t="str">
        <f>TEXT(Table1_1[[#This Row],[Joining_Date]],"yyyy")</f>
        <v>2019</v>
      </c>
      <c r="I336" s="1"/>
      <c r="J336" t="s">
        <v>29</v>
      </c>
      <c r="K336">
        <f>IF(Table1_1[[#This Row],[Status]]="Exited",1,0)</f>
        <v>0</v>
      </c>
      <c r="L336">
        <f>IF(Table1_1[[#This Row],[Status]]="Exited",0,1)</f>
        <v>1</v>
      </c>
      <c r="M336">
        <v>866290</v>
      </c>
      <c r="N336">
        <v>3.7</v>
      </c>
      <c r="O336" t="s">
        <v>19</v>
      </c>
      <c r="P336">
        <v>99.5</v>
      </c>
      <c r="Q336" t="str">
        <f t="shared" si="5"/>
        <v>Low</v>
      </c>
    </row>
    <row r="337" spans="1:17" x14ac:dyDescent="0.3">
      <c r="A337" t="s">
        <v>1025</v>
      </c>
      <c r="B337" t="s">
        <v>1026</v>
      </c>
      <c r="C337" t="s">
        <v>54</v>
      </c>
      <c r="D337" t="s">
        <v>15</v>
      </c>
      <c r="E337" t="s">
        <v>27</v>
      </c>
      <c r="F337" t="s">
        <v>1027</v>
      </c>
      <c r="G337" t="str">
        <f>TEXT(Table1_1[[#This Row],[Joining_Date]],"mmm")</f>
        <v>Mar</v>
      </c>
      <c r="H337" t="str">
        <f>TEXT(Table1_1[[#This Row],[Joining_Date]],"yyyy")</f>
        <v>2018</v>
      </c>
      <c r="I337" s="1"/>
      <c r="J337" t="s">
        <v>29</v>
      </c>
      <c r="K337">
        <f>IF(Table1_1[[#This Row],[Status]]="Exited",1,0)</f>
        <v>0</v>
      </c>
      <c r="L337">
        <f>IF(Table1_1[[#This Row],[Status]]="Exited",0,1)</f>
        <v>1</v>
      </c>
      <c r="M337">
        <v>209922</v>
      </c>
      <c r="N337">
        <v>5</v>
      </c>
      <c r="O337" t="s">
        <v>24</v>
      </c>
      <c r="P337">
        <v>82.5</v>
      </c>
      <c r="Q337" t="str">
        <f t="shared" si="5"/>
        <v>High</v>
      </c>
    </row>
    <row r="338" spans="1:17" x14ac:dyDescent="0.3">
      <c r="A338" t="s">
        <v>1028</v>
      </c>
      <c r="B338" t="s">
        <v>1029</v>
      </c>
      <c r="C338" t="s">
        <v>54</v>
      </c>
      <c r="D338" t="s">
        <v>10</v>
      </c>
      <c r="E338" t="s">
        <v>45</v>
      </c>
      <c r="F338" t="s">
        <v>1030</v>
      </c>
      <c r="G338" t="str">
        <f>TEXT(Table1_1[[#This Row],[Joining_Date]],"mmm")</f>
        <v>Jun</v>
      </c>
      <c r="H338" t="str">
        <f>TEXT(Table1_1[[#This Row],[Joining_Date]],"yyyy")</f>
        <v>2018</v>
      </c>
      <c r="I338" s="1"/>
      <c r="J338" t="s">
        <v>29</v>
      </c>
      <c r="K338">
        <f>IF(Table1_1[[#This Row],[Status]]="Exited",1,0)</f>
        <v>0</v>
      </c>
      <c r="L338">
        <f>IF(Table1_1[[#This Row],[Status]]="Exited",0,1)</f>
        <v>1</v>
      </c>
      <c r="M338">
        <v>280286</v>
      </c>
      <c r="N338">
        <v>2.8</v>
      </c>
      <c r="O338" t="s">
        <v>19</v>
      </c>
      <c r="P338">
        <v>85.4</v>
      </c>
      <c r="Q338" t="str">
        <f t="shared" si="5"/>
        <v>Low</v>
      </c>
    </row>
    <row r="339" spans="1:17" x14ac:dyDescent="0.3">
      <c r="A339" t="s">
        <v>1031</v>
      </c>
      <c r="B339" t="s">
        <v>1032</v>
      </c>
      <c r="C339" t="s">
        <v>22</v>
      </c>
      <c r="D339" t="s">
        <v>33</v>
      </c>
      <c r="E339" t="s">
        <v>27</v>
      </c>
      <c r="F339" t="s">
        <v>1033</v>
      </c>
      <c r="G339" t="str">
        <f>TEXT(Table1_1[[#This Row],[Joining_Date]],"mmm")</f>
        <v>Nov</v>
      </c>
      <c r="H339" t="str">
        <f>TEXT(Table1_1[[#This Row],[Joining_Date]],"yyyy")</f>
        <v>2021</v>
      </c>
      <c r="I339" s="1">
        <v>45195</v>
      </c>
      <c r="J339" t="s">
        <v>18</v>
      </c>
      <c r="K339">
        <f>IF(Table1_1[[#This Row],[Status]]="Exited",1,0)</f>
        <v>1</v>
      </c>
      <c r="L339">
        <f>IF(Table1_1[[#This Row],[Status]]="Exited",0,1)</f>
        <v>0</v>
      </c>
      <c r="M339">
        <v>474858</v>
      </c>
      <c r="N339">
        <v>3.4</v>
      </c>
      <c r="O339" t="s">
        <v>24</v>
      </c>
      <c r="P339">
        <v>92.7</v>
      </c>
      <c r="Q339" t="str">
        <f t="shared" si="5"/>
        <v>Low</v>
      </c>
    </row>
    <row r="340" spans="1:17" x14ac:dyDescent="0.3">
      <c r="A340" t="s">
        <v>1034</v>
      </c>
      <c r="B340" t="s">
        <v>1035</v>
      </c>
      <c r="C340" t="s">
        <v>61</v>
      </c>
      <c r="D340" t="s">
        <v>33</v>
      </c>
      <c r="E340" t="s">
        <v>50</v>
      </c>
      <c r="F340" t="s">
        <v>1036</v>
      </c>
      <c r="G340" t="str">
        <f>TEXT(Table1_1[[#This Row],[Joining_Date]],"mmm")</f>
        <v>Nov</v>
      </c>
      <c r="H340" t="str">
        <f>TEXT(Table1_1[[#This Row],[Joining_Date]],"yyyy")</f>
        <v>2020</v>
      </c>
      <c r="I340" s="1"/>
      <c r="J340" t="s">
        <v>29</v>
      </c>
      <c r="K340">
        <f>IF(Table1_1[[#This Row],[Status]]="Exited",1,0)</f>
        <v>0</v>
      </c>
      <c r="L340">
        <f>IF(Table1_1[[#This Row],[Status]]="Exited",0,1)</f>
        <v>1</v>
      </c>
      <c r="M340">
        <v>1035430</v>
      </c>
      <c r="N340">
        <v>3.7</v>
      </c>
      <c r="O340" t="s">
        <v>42</v>
      </c>
      <c r="P340">
        <v>90.7</v>
      </c>
      <c r="Q340" t="str">
        <f t="shared" si="5"/>
        <v>Low</v>
      </c>
    </row>
    <row r="341" spans="1:17" x14ac:dyDescent="0.3">
      <c r="A341" t="s">
        <v>1037</v>
      </c>
      <c r="B341" t="s">
        <v>1038</v>
      </c>
      <c r="C341" t="s">
        <v>61</v>
      </c>
      <c r="D341" t="s">
        <v>15</v>
      </c>
      <c r="E341" t="s">
        <v>16</v>
      </c>
      <c r="F341" t="s">
        <v>1039</v>
      </c>
      <c r="G341" t="str">
        <f>TEXT(Table1_1[[#This Row],[Joining_Date]],"mmm")</f>
        <v>Mar</v>
      </c>
      <c r="H341" t="str">
        <f>TEXT(Table1_1[[#This Row],[Joining_Date]],"yyyy")</f>
        <v>2019</v>
      </c>
      <c r="I341" s="1">
        <v>44729</v>
      </c>
      <c r="J341" t="s">
        <v>18</v>
      </c>
      <c r="K341">
        <f>IF(Table1_1[[#This Row],[Status]]="Exited",1,0)</f>
        <v>1</v>
      </c>
      <c r="L341">
        <f>IF(Table1_1[[#This Row],[Status]]="Exited",0,1)</f>
        <v>0</v>
      </c>
      <c r="M341">
        <v>391013</v>
      </c>
      <c r="N341">
        <v>4.7</v>
      </c>
      <c r="O341" t="s">
        <v>19</v>
      </c>
      <c r="P341">
        <v>95.4</v>
      </c>
      <c r="Q341" t="str">
        <f t="shared" si="5"/>
        <v>High</v>
      </c>
    </row>
    <row r="342" spans="1:17" x14ac:dyDescent="0.3">
      <c r="A342" t="s">
        <v>1040</v>
      </c>
      <c r="B342" t="s">
        <v>1041</v>
      </c>
      <c r="C342" t="s">
        <v>22</v>
      </c>
      <c r="D342" t="s">
        <v>15</v>
      </c>
      <c r="E342" t="s">
        <v>45</v>
      </c>
      <c r="F342" t="s">
        <v>1042</v>
      </c>
      <c r="G342" t="str">
        <f>TEXT(Table1_1[[#This Row],[Joining_Date]],"mmm")</f>
        <v>Nov</v>
      </c>
      <c r="H342" t="str">
        <f>TEXT(Table1_1[[#This Row],[Joining_Date]],"yyyy")</f>
        <v>2020</v>
      </c>
      <c r="I342" s="1"/>
      <c r="J342" t="s">
        <v>29</v>
      </c>
      <c r="K342">
        <f>IF(Table1_1[[#This Row],[Status]]="Exited",1,0)</f>
        <v>0</v>
      </c>
      <c r="L342">
        <f>IF(Table1_1[[#This Row],[Status]]="Exited",0,1)</f>
        <v>1</v>
      </c>
      <c r="M342">
        <v>741271</v>
      </c>
      <c r="N342">
        <v>2.7</v>
      </c>
      <c r="O342" t="s">
        <v>19</v>
      </c>
      <c r="P342">
        <v>90.6</v>
      </c>
      <c r="Q342" t="str">
        <f t="shared" si="5"/>
        <v>Low</v>
      </c>
    </row>
    <row r="343" spans="1:17" x14ac:dyDescent="0.3">
      <c r="A343" t="s">
        <v>1043</v>
      </c>
      <c r="B343" t="s">
        <v>1044</v>
      </c>
      <c r="C343" t="s">
        <v>54</v>
      </c>
      <c r="D343" t="s">
        <v>49</v>
      </c>
      <c r="E343" t="s">
        <v>27</v>
      </c>
      <c r="F343" t="s">
        <v>1045</v>
      </c>
      <c r="G343" t="str">
        <f>TEXT(Table1_1[[#This Row],[Joining_Date]],"mmm")</f>
        <v>Oct</v>
      </c>
      <c r="H343" t="str">
        <f>TEXT(Table1_1[[#This Row],[Joining_Date]],"yyyy")</f>
        <v>2018</v>
      </c>
      <c r="I343" s="1"/>
      <c r="J343" t="s">
        <v>29</v>
      </c>
      <c r="K343">
        <f>IF(Table1_1[[#This Row],[Status]]="Exited",1,0)</f>
        <v>0</v>
      </c>
      <c r="L343">
        <f>IF(Table1_1[[#This Row],[Status]]="Exited",0,1)</f>
        <v>1</v>
      </c>
      <c r="M343">
        <v>899712</v>
      </c>
      <c r="N343">
        <v>3.9</v>
      </c>
      <c r="O343" t="s">
        <v>42</v>
      </c>
      <c r="P343">
        <v>97.3</v>
      </c>
      <c r="Q343" t="str">
        <f t="shared" si="5"/>
        <v>Low</v>
      </c>
    </row>
    <row r="344" spans="1:17" x14ac:dyDescent="0.3">
      <c r="A344" t="s">
        <v>1046</v>
      </c>
      <c r="B344" t="s">
        <v>1047</v>
      </c>
      <c r="C344" t="s">
        <v>54</v>
      </c>
      <c r="D344" t="s">
        <v>10</v>
      </c>
      <c r="E344" t="s">
        <v>50</v>
      </c>
      <c r="F344" t="s">
        <v>1048</v>
      </c>
      <c r="G344" t="str">
        <f>TEXT(Table1_1[[#This Row],[Joining_Date]],"mmm")</f>
        <v>Apr</v>
      </c>
      <c r="H344" t="str">
        <f>TEXT(Table1_1[[#This Row],[Joining_Date]],"yyyy")</f>
        <v>2021</v>
      </c>
      <c r="I344" s="1"/>
      <c r="J344" t="s">
        <v>29</v>
      </c>
      <c r="K344">
        <f>IF(Table1_1[[#This Row],[Status]]="Exited",1,0)</f>
        <v>0</v>
      </c>
      <c r="L344">
        <f>IF(Table1_1[[#This Row],[Status]]="Exited",0,1)</f>
        <v>1</v>
      </c>
      <c r="M344">
        <v>790033</v>
      </c>
      <c r="N344">
        <v>3.4</v>
      </c>
      <c r="O344" t="s">
        <v>24</v>
      </c>
      <c r="P344">
        <v>98</v>
      </c>
      <c r="Q344" t="str">
        <f t="shared" si="5"/>
        <v>Low</v>
      </c>
    </row>
    <row r="345" spans="1:17" x14ac:dyDescent="0.3">
      <c r="A345" t="s">
        <v>1049</v>
      </c>
      <c r="B345" t="s">
        <v>1050</v>
      </c>
      <c r="C345" t="s">
        <v>37</v>
      </c>
      <c r="D345" t="s">
        <v>10</v>
      </c>
      <c r="E345" t="s">
        <v>27</v>
      </c>
      <c r="F345" t="s">
        <v>1051</v>
      </c>
      <c r="G345" t="str">
        <f>TEXT(Table1_1[[#This Row],[Joining_Date]],"mmm")</f>
        <v>May</v>
      </c>
      <c r="H345" t="str">
        <f>TEXT(Table1_1[[#This Row],[Joining_Date]],"yyyy")</f>
        <v>2018</v>
      </c>
      <c r="I345" s="1"/>
      <c r="J345" t="s">
        <v>29</v>
      </c>
      <c r="K345">
        <f>IF(Table1_1[[#This Row],[Status]]="Exited",1,0)</f>
        <v>0</v>
      </c>
      <c r="L345">
        <f>IF(Table1_1[[#This Row],[Status]]="Exited",0,1)</f>
        <v>1</v>
      </c>
      <c r="M345">
        <v>793342</v>
      </c>
      <c r="N345">
        <v>2.5</v>
      </c>
      <c r="O345" t="s">
        <v>42</v>
      </c>
      <c r="P345">
        <v>89.5</v>
      </c>
      <c r="Q345" t="str">
        <f t="shared" si="5"/>
        <v>Low</v>
      </c>
    </row>
    <row r="346" spans="1:17" x14ac:dyDescent="0.3">
      <c r="A346" t="s">
        <v>1052</v>
      </c>
      <c r="B346" t="s">
        <v>1053</v>
      </c>
      <c r="C346" t="s">
        <v>54</v>
      </c>
      <c r="D346" t="s">
        <v>33</v>
      </c>
      <c r="E346" t="s">
        <v>27</v>
      </c>
      <c r="F346" t="s">
        <v>1054</v>
      </c>
      <c r="G346" t="str">
        <f>TEXT(Table1_1[[#This Row],[Joining_Date]],"mmm")</f>
        <v>Nov</v>
      </c>
      <c r="H346" t="str">
        <f>TEXT(Table1_1[[#This Row],[Joining_Date]],"yyyy")</f>
        <v>2024</v>
      </c>
      <c r="I346" s="1"/>
      <c r="J346" t="s">
        <v>29</v>
      </c>
      <c r="K346">
        <f>IF(Table1_1[[#This Row],[Status]]="Exited",1,0)</f>
        <v>0</v>
      </c>
      <c r="L346">
        <f>IF(Table1_1[[#This Row],[Status]]="Exited",0,1)</f>
        <v>1</v>
      </c>
      <c r="M346">
        <v>645062</v>
      </c>
      <c r="N346">
        <v>4.3</v>
      </c>
      <c r="O346" t="s">
        <v>42</v>
      </c>
      <c r="P346">
        <v>92.2</v>
      </c>
      <c r="Q346" t="str">
        <f t="shared" si="5"/>
        <v>High</v>
      </c>
    </row>
    <row r="347" spans="1:17" x14ac:dyDescent="0.3">
      <c r="A347" t="s">
        <v>1055</v>
      </c>
      <c r="B347" t="s">
        <v>1056</v>
      </c>
      <c r="C347" t="s">
        <v>61</v>
      </c>
      <c r="D347" t="s">
        <v>49</v>
      </c>
      <c r="E347" t="s">
        <v>50</v>
      </c>
      <c r="F347" t="s">
        <v>478</v>
      </c>
      <c r="G347" t="str">
        <f>TEXT(Table1_1[[#This Row],[Joining_Date]],"mmm")</f>
        <v>May</v>
      </c>
      <c r="H347" t="str">
        <f>TEXT(Table1_1[[#This Row],[Joining_Date]],"yyyy")</f>
        <v>2024</v>
      </c>
      <c r="I347" s="1">
        <v>45666</v>
      </c>
      <c r="J347" t="s">
        <v>18</v>
      </c>
      <c r="K347">
        <f>IF(Table1_1[[#This Row],[Status]]="Exited",1,0)</f>
        <v>1</v>
      </c>
      <c r="L347">
        <f>IF(Table1_1[[#This Row],[Status]]="Exited",0,1)</f>
        <v>0</v>
      </c>
      <c r="M347">
        <v>591549</v>
      </c>
      <c r="N347">
        <v>4.5</v>
      </c>
      <c r="O347" t="s">
        <v>24</v>
      </c>
      <c r="P347">
        <v>93.5</v>
      </c>
      <c r="Q347" t="str">
        <f t="shared" si="5"/>
        <v>High</v>
      </c>
    </row>
    <row r="348" spans="1:17" x14ac:dyDescent="0.3">
      <c r="A348" t="s">
        <v>1057</v>
      </c>
      <c r="B348" t="s">
        <v>1058</v>
      </c>
      <c r="C348" t="s">
        <v>54</v>
      </c>
      <c r="D348" t="s">
        <v>15</v>
      </c>
      <c r="E348" t="s">
        <v>27</v>
      </c>
      <c r="F348" t="s">
        <v>1059</v>
      </c>
      <c r="G348" t="str">
        <f>TEXT(Table1_1[[#This Row],[Joining_Date]],"mmm")</f>
        <v>Jul</v>
      </c>
      <c r="H348" t="str">
        <f>TEXT(Table1_1[[#This Row],[Joining_Date]],"yyyy")</f>
        <v>2021</v>
      </c>
      <c r="I348" s="1"/>
      <c r="J348" t="s">
        <v>29</v>
      </c>
      <c r="K348">
        <f>IF(Table1_1[[#This Row],[Status]]="Exited",1,0)</f>
        <v>0</v>
      </c>
      <c r="L348">
        <f>IF(Table1_1[[#This Row],[Status]]="Exited",0,1)</f>
        <v>1</v>
      </c>
      <c r="M348">
        <v>895858</v>
      </c>
      <c r="N348">
        <v>3.9</v>
      </c>
      <c r="O348" t="s">
        <v>30</v>
      </c>
      <c r="P348">
        <v>89.3</v>
      </c>
      <c r="Q348" t="str">
        <f t="shared" si="5"/>
        <v>Low</v>
      </c>
    </row>
    <row r="349" spans="1:17" x14ac:dyDescent="0.3">
      <c r="A349" t="s">
        <v>1060</v>
      </c>
      <c r="B349" t="s">
        <v>1061</v>
      </c>
      <c r="C349" t="s">
        <v>54</v>
      </c>
      <c r="D349" t="s">
        <v>33</v>
      </c>
      <c r="E349" t="s">
        <v>16</v>
      </c>
      <c r="F349" t="s">
        <v>1062</v>
      </c>
      <c r="G349" t="str">
        <f>TEXT(Table1_1[[#This Row],[Joining_Date]],"mmm")</f>
        <v>Jan</v>
      </c>
      <c r="H349" t="str">
        <f>TEXT(Table1_1[[#This Row],[Joining_Date]],"yyyy")</f>
        <v>2021</v>
      </c>
      <c r="I349" s="1">
        <v>45109</v>
      </c>
      <c r="J349" t="s">
        <v>18</v>
      </c>
      <c r="K349">
        <f>IF(Table1_1[[#This Row],[Status]]="Exited",1,0)</f>
        <v>1</v>
      </c>
      <c r="L349">
        <f>IF(Table1_1[[#This Row],[Status]]="Exited",0,1)</f>
        <v>0</v>
      </c>
      <c r="M349">
        <v>1068892</v>
      </c>
      <c r="N349">
        <v>3.4</v>
      </c>
      <c r="O349" t="s">
        <v>30</v>
      </c>
      <c r="P349">
        <v>90.5</v>
      </c>
      <c r="Q349" t="str">
        <f t="shared" si="5"/>
        <v>Low</v>
      </c>
    </row>
    <row r="350" spans="1:17" x14ac:dyDescent="0.3">
      <c r="A350" t="s">
        <v>1063</v>
      </c>
      <c r="B350" t="s">
        <v>1064</v>
      </c>
      <c r="C350" t="s">
        <v>61</v>
      </c>
      <c r="D350" t="s">
        <v>33</v>
      </c>
      <c r="E350" t="s">
        <v>27</v>
      </c>
      <c r="F350" t="s">
        <v>1065</v>
      </c>
      <c r="G350" t="str">
        <f>TEXT(Table1_1[[#This Row],[Joining_Date]],"mmm")</f>
        <v>Sep</v>
      </c>
      <c r="H350" t="str">
        <f>TEXT(Table1_1[[#This Row],[Joining_Date]],"yyyy")</f>
        <v>2024</v>
      </c>
      <c r="I350" s="1"/>
      <c r="J350" t="s">
        <v>29</v>
      </c>
      <c r="K350">
        <f>IF(Table1_1[[#This Row],[Status]]="Exited",1,0)</f>
        <v>0</v>
      </c>
      <c r="L350">
        <f>IF(Table1_1[[#This Row],[Status]]="Exited",0,1)</f>
        <v>1</v>
      </c>
      <c r="M350">
        <v>486495</v>
      </c>
      <c r="N350">
        <v>2.7</v>
      </c>
      <c r="O350" t="s">
        <v>24</v>
      </c>
      <c r="P350">
        <v>93.2</v>
      </c>
      <c r="Q350" t="str">
        <f t="shared" si="5"/>
        <v>Low</v>
      </c>
    </row>
    <row r="351" spans="1:17" x14ac:dyDescent="0.3">
      <c r="A351" t="s">
        <v>1066</v>
      </c>
      <c r="B351" t="s">
        <v>1067</v>
      </c>
      <c r="C351" t="s">
        <v>22</v>
      </c>
      <c r="D351" t="s">
        <v>49</v>
      </c>
      <c r="E351" t="s">
        <v>27</v>
      </c>
      <c r="F351" t="s">
        <v>1068</v>
      </c>
      <c r="G351" t="str">
        <f>TEXT(Table1_1[[#This Row],[Joining_Date]],"mmm")</f>
        <v>Mar</v>
      </c>
      <c r="H351" t="str">
        <f>TEXT(Table1_1[[#This Row],[Joining_Date]],"yyyy")</f>
        <v>2023</v>
      </c>
      <c r="I351" s="1"/>
      <c r="J351" t="s">
        <v>29</v>
      </c>
      <c r="K351">
        <f>IF(Table1_1[[#This Row],[Status]]="Exited",1,0)</f>
        <v>0</v>
      </c>
      <c r="L351">
        <f>IF(Table1_1[[#This Row],[Status]]="Exited",0,1)</f>
        <v>1</v>
      </c>
      <c r="M351">
        <v>210268</v>
      </c>
      <c r="N351">
        <v>2.8</v>
      </c>
      <c r="O351" t="s">
        <v>42</v>
      </c>
      <c r="P351">
        <v>91.9</v>
      </c>
      <c r="Q351" t="str">
        <f t="shared" si="5"/>
        <v>Low</v>
      </c>
    </row>
    <row r="352" spans="1:17" x14ac:dyDescent="0.3">
      <c r="A352" t="s">
        <v>1069</v>
      </c>
      <c r="B352" t="s">
        <v>1070</v>
      </c>
      <c r="C352" t="s">
        <v>54</v>
      </c>
      <c r="D352" t="s">
        <v>15</v>
      </c>
      <c r="E352" t="s">
        <v>50</v>
      </c>
      <c r="F352" t="s">
        <v>1071</v>
      </c>
      <c r="G352" t="str">
        <f>TEXT(Table1_1[[#This Row],[Joining_Date]],"mmm")</f>
        <v>Feb</v>
      </c>
      <c r="H352" t="str">
        <f>TEXT(Table1_1[[#This Row],[Joining_Date]],"yyyy")</f>
        <v>2022</v>
      </c>
      <c r="I352" s="1"/>
      <c r="J352" t="s">
        <v>29</v>
      </c>
      <c r="K352">
        <f>IF(Table1_1[[#This Row],[Status]]="Exited",1,0)</f>
        <v>0</v>
      </c>
      <c r="L352">
        <f>IF(Table1_1[[#This Row],[Status]]="Exited",0,1)</f>
        <v>1</v>
      </c>
      <c r="M352">
        <v>863948</v>
      </c>
      <c r="N352">
        <v>3.3</v>
      </c>
      <c r="O352" t="s">
        <v>42</v>
      </c>
      <c r="P352">
        <v>92.7</v>
      </c>
      <c r="Q352" t="str">
        <f t="shared" si="5"/>
        <v>Low</v>
      </c>
    </row>
    <row r="353" spans="1:17" x14ac:dyDescent="0.3">
      <c r="A353" t="s">
        <v>1072</v>
      </c>
      <c r="B353" t="s">
        <v>1073</v>
      </c>
      <c r="C353" t="s">
        <v>54</v>
      </c>
      <c r="D353" t="s">
        <v>15</v>
      </c>
      <c r="E353" t="s">
        <v>45</v>
      </c>
      <c r="F353" t="s">
        <v>1074</v>
      </c>
      <c r="G353" t="str">
        <f>TEXT(Table1_1[[#This Row],[Joining_Date]],"mmm")</f>
        <v>Mar</v>
      </c>
      <c r="H353" t="str">
        <f>TEXT(Table1_1[[#This Row],[Joining_Date]],"yyyy")</f>
        <v>2024</v>
      </c>
      <c r="I353" s="1"/>
      <c r="J353" t="s">
        <v>29</v>
      </c>
      <c r="K353">
        <f>IF(Table1_1[[#This Row],[Status]]="Exited",1,0)</f>
        <v>0</v>
      </c>
      <c r="L353">
        <f>IF(Table1_1[[#This Row],[Status]]="Exited",0,1)</f>
        <v>1</v>
      </c>
      <c r="M353">
        <v>1091380</v>
      </c>
      <c r="N353">
        <v>4.9000000000000004</v>
      </c>
      <c r="O353" t="s">
        <v>30</v>
      </c>
      <c r="P353">
        <v>86.1</v>
      </c>
      <c r="Q353" t="str">
        <f t="shared" si="5"/>
        <v>High</v>
      </c>
    </row>
    <row r="354" spans="1:17" x14ac:dyDescent="0.3">
      <c r="A354" t="s">
        <v>1075</v>
      </c>
      <c r="B354" t="s">
        <v>1076</v>
      </c>
      <c r="C354" t="s">
        <v>54</v>
      </c>
      <c r="D354" t="s">
        <v>33</v>
      </c>
      <c r="E354" t="s">
        <v>45</v>
      </c>
      <c r="F354" t="s">
        <v>1077</v>
      </c>
      <c r="G354" t="str">
        <f>TEXT(Table1_1[[#This Row],[Joining_Date]],"mmm")</f>
        <v>Aug</v>
      </c>
      <c r="H354" t="str">
        <f>TEXT(Table1_1[[#This Row],[Joining_Date]],"yyyy")</f>
        <v>2022</v>
      </c>
      <c r="I354" s="1"/>
      <c r="J354" t="s">
        <v>29</v>
      </c>
      <c r="K354">
        <f>IF(Table1_1[[#This Row],[Status]]="Exited",1,0)</f>
        <v>0</v>
      </c>
      <c r="L354">
        <f>IF(Table1_1[[#This Row],[Status]]="Exited",0,1)</f>
        <v>1</v>
      </c>
      <c r="M354">
        <v>542747</v>
      </c>
      <c r="N354">
        <v>4.5999999999999996</v>
      </c>
      <c r="O354" t="s">
        <v>24</v>
      </c>
      <c r="P354">
        <v>99.8</v>
      </c>
      <c r="Q354" t="str">
        <f t="shared" si="5"/>
        <v>High</v>
      </c>
    </row>
    <row r="355" spans="1:17" x14ac:dyDescent="0.3">
      <c r="A355" t="s">
        <v>1078</v>
      </c>
      <c r="B355" t="s">
        <v>1079</v>
      </c>
      <c r="C355" t="s">
        <v>54</v>
      </c>
      <c r="D355" t="s">
        <v>49</v>
      </c>
      <c r="E355" t="s">
        <v>16</v>
      </c>
      <c r="F355" t="s">
        <v>659</v>
      </c>
      <c r="G355" t="str">
        <f>TEXT(Table1_1[[#This Row],[Joining_Date]],"mmm")</f>
        <v>Sep</v>
      </c>
      <c r="H355" t="str">
        <f>TEXT(Table1_1[[#This Row],[Joining_Date]],"yyyy")</f>
        <v>2021</v>
      </c>
      <c r="I355" s="1"/>
      <c r="J355" t="s">
        <v>29</v>
      </c>
      <c r="K355">
        <f>IF(Table1_1[[#This Row],[Status]]="Exited",1,0)</f>
        <v>0</v>
      </c>
      <c r="L355">
        <f>IF(Table1_1[[#This Row],[Status]]="Exited",0,1)</f>
        <v>1</v>
      </c>
      <c r="M355">
        <v>457540</v>
      </c>
      <c r="N355">
        <v>2.5</v>
      </c>
      <c r="O355" t="s">
        <v>24</v>
      </c>
      <c r="P355">
        <v>84.1</v>
      </c>
      <c r="Q355" t="str">
        <f t="shared" si="5"/>
        <v>Low</v>
      </c>
    </row>
    <row r="356" spans="1:17" x14ac:dyDescent="0.3">
      <c r="A356" t="s">
        <v>1080</v>
      </c>
      <c r="B356" t="s">
        <v>1081</v>
      </c>
      <c r="C356" t="s">
        <v>22</v>
      </c>
      <c r="D356" t="s">
        <v>10</v>
      </c>
      <c r="E356" t="s">
        <v>16</v>
      </c>
      <c r="F356" t="s">
        <v>1082</v>
      </c>
      <c r="G356" t="str">
        <f>TEXT(Table1_1[[#This Row],[Joining_Date]],"mmm")</f>
        <v>Apr</v>
      </c>
      <c r="H356" t="str">
        <f>TEXT(Table1_1[[#This Row],[Joining_Date]],"yyyy")</f>
        <v>2023</v>
      </c>
      <c r="I356" s="1"/>
      <c r="J356" t="s">
        <v>29</v>
      </c>
      <c r="K356">
        <f>IF(Table1_1[[#This Row],[Status]]="Exited",1,0)</f>
        <v>0</v>
      </c>
      <c r="L356">
        <f>IF(Table1_1[[#This Row],[Status]]="Exited",0,1)</f>
        <v>1</v>
      </c>
      <c r="M356">
        <v>997633</v>
      </c>
      <c r="N356">
        <v>4.0999999999999996</v>
      </c>
      <c r="O356" t="s">
        <v>42</v>
      </c>
      <c r="P356">
        <v>96.7</v>
      </c>
      <c r="Q356" t="str">
        <f t="shared" si="5"/>
        <v>High</v>
      </c>
    </row>
    <row r="357" spans="1:17" x14ac:dyDescent="0.3">
      <c r="A357" t="s">
        <v>1083</v>
      </c>
      <c r="B357" t="s">
        <v>1084</v>
      </c>
      <c r="C357" t="s">
        <v>22</v>
      </c>
      <c r="D357" t="s">
        <v>10</v>
      </c>
      <c r="E357" t="s">
        <v>45</v>
      </c>
      <c r="F357" t="s">
        <v>1085</v>
      </c>
      <c r="G357" t="str">
        <f>TEXT(Table1_1[[#This Row],[Joining_Date]],"mmm")</f>
        <v>Feb</v>
      </c>
      <c r="H357" t="str">
        <f>TEXT(Table1_1[[#This Row],[Joining_Date]],"yyyy")</f>
        <v>2021</v>
      </c>
      <c r="I357" s="1">
        <v>45386</v>
      </c>
      <c r="J357" t="s">
        <v>18</v>
      </c>
      <c r="K357">
        <f>IF(Table1_1[[#This Row],[Status]]="Exited",1,0)</f>
        <v>1</v>
      </c>
      <c r="L357">
        <f>IF(Table1_1[[#This Row],[Status]]="Exited",0,1)</f>
        <v>0</v>
      </c>
      <c r="M357">
        <v>900526</v>
      </c>
      <c r="N357">
        <v>4.5</v>
      </c>
      <c r="O357" t="s">
        <v>24</v>
      </c>
      <c r="P357">
        <v>75.400000000000006</v>
      </c>
      <c r="Q357" t="str">
        <f t="shared" si="5"/>
        <v>High</v>
      </c>
    </row>
    <row r="358" spans="1:17" x14ac:dyDescent="0.3">
      <c r="A358" t="s">
        <v>1086</v>
      </c>
      <c r="B358" t="s">
        <v>1087</v>
      </c>
      <c r="C358" t="s">
        <v>14</v>
      </c>
      <c r="D358" t="s">
        <v>15</v>
      </c>
      <c r="E358" t="s">
        <v>27</v>
      </c>
      <c r="F358" t="s">
        <v>1088</v>
      </c>
      <c r="G358" t="str">
        <f>TEXT(Table1_1[[#This Row],[Joining_Date]],"mmm")</f>
        <v>Jan</v>
      </c>
      <c r="H358" t="str">
        <f>TEXT(Table1_1[[#This Row],[Joining_Date]],"yyyy")</f>
        <v>2018</v>
      </c>
      <c r="I358" s="1"/>
      <c r="J358" t="s">
        <v>29</v>
      </c>
      <c r="K358">
        <f>IF(Table1_1[[#This Row],[Status]]="Exited",1,0)</f>
        <v>0</v>
      </c>
      <c r="L358">
        <f>IF(Table1_1[[#This Row],[Status]]="Exited",0,1)</f>
        <v>1</v>
      </c>
      <c r="M358">
        <v>337353</v>
      </c>
      <c r="N358">
        <v>4.2</v>
      </c>
      <c r="O358" t="s">
        <v>24</v>
      </c>
      <c r="P358">
        <v>85.1</v>
      </c>
      <c r="Q358" t="str">
        <f t="shared" si="5"/>
        <v>High</v>
      </c>
    </row>
    <row r="359" spans="1:17" x14ac:dyDescent="0.3">
      <c r="A359" t="s">
        <v>1089</v>
      </c>
      <c r="B359" t="s">
        <v>1090</v>
      </c>
      <c r="C359" t="s">
        <v>54</v>
      </c>
      <c r="D359" t="s">
        <v>33</v>
      </c>
      <c r="E359" t="s">
        <v>16</v>
      </c>
      <c r="F359" t="s">
        <v>1091</v>
      </c>
      <c r="G359" t="str">
        <f>TEXT(Table1_1[[#This Row],[Joining_Date]],"mmm")</f>
        <v>Feb</v>
      </c>
      <c r="H359" t="str">
        <f>TEXT(Table1_1[[#This Row],[Joining_Date]],"yyyy")</f>
        <v>2024</v>
      </c>
      <c r="I359" s="1"/>
      <c r="J359" t="s">
        <v>29</v>
      </c>
      <c r="K359">
        <f>IF(Table1_1[[#This Row],[Status]]="Exited",1,0)</f>
        <v>0</v>
      </c>
      <c r="L359">
        <f>IF(Table1_1[[#This Row],[Status]]="Exited",0,1)</f>
        <v>1</v>
      </c>
      <c r="M359">
        <v>906969</v>
      </c>
      <c r="N359">
        <v>3.6</v>
      </c>
      <c r="O359" t="s">
        <v>30</v>
      </c>
      <c r="P359">
        <v>94.8</v>
      </c>
      <c r="Q359" t="str">
        <f t="shared" si="5"/>
        <v>Low</v>
      </c>
    </row>
    <row r="360" spans="1:17" x14ac:dyDescent="0.3">
      <c r="A360" t="s">
        <v>1092</v>
      </c>
      <c r="B360" t="s">
        <v>1093</v>
      </c>
      <c r="C360" t="s">
        <v>22</v>
      </c>
      <c r="D360" t="s">
        <v>10</v>
      </c>
      <c r="E360" t="s">
        <v>50</v>
      </c>
      <c r="F360" t="s">
        <v>1094</v>
      </c>
      <c r="G360" t="str">
        <f>TEXT(Table1_1[[#This Row],[Joining_Date]],"mmm")</f>
        <v>Aug</v>
      </c>
      <c r="H360" t="str">
        <f>TEXT(Table1_1[[#This Row],[Joining_Date]],"yyyy")</f>
        <v>2020</v>
      </c>
      <c r="I360" s="1"/>
      <c r="J360" t="s">
        <v>29</v>
      </c>
      <c r="K360">
        <f>IF(Table1_1[[#This Row],[Status]]="Exited",1,0)</f>
        <v>0</v>
      </c>
      <c r="L360">
        <f>IF(Table1_1[[#This Row],[Status]]="Exited",0,1)</f>
        <v>1</v>
      </c>
      <c r="M360">
        <v>318632</v>
      </c>
      <c r="N360">
        <v>4</v>
      </c>
      <c r="O360" t="s">
        <v>30</v>
      </c>
      <c r="P360">
        <v>99</v>
      </c>
      <c r="Q360" t="str">
        <f t="shared" si="5"/>
        <v>Low</v>
      </c>
    </row>
    <row r="361" spans="1:17" x14ac:dyDescent="0.3">
      <c r="A361" t="s">
        <v>1095</v>
      </c>
      <c r="B361" t="s">
        <v>1096</v>
      </c>
      <c r="C361" t="s">
        <v>37</v>
      </c>
      <c r="D361" t="s">
        <v>49</v>
      </c>
      <c r="E361" t="s">
        <v>45</v>
      </c>
      <c r="F361" t="s">
        <v>1097</v>
      </c>
      <c r="G361" t="str">
        <f>TEXT(Table1_1[[#This Row],[Joining_Date]],"mmm")</f>
        <v>Aug</v>
      </c>
      <c r="H361" t="str">
        <f>TEXT(Table1_1[[#This Row],[Joining_Date]],"yyyy")</f>
        <v>2024</v>
      </c>
      <c r="I361" s="1">
        <v>46271</v>
      </c>
      <c r="J361" t="s">
        <v>18</v>
      </c>
      <c r="K361">
        <f>IF(Table1_1[[#This Row],[Status]]="Exited",1,0)</f>
        <v>1</v>
      </c>
      <c r="L361">
        <f>IF(Table1_1[[#This Row],[Status]]="Exited",0,1)</f>
        <v>0</v>
      </c>
      <c r="M361">
        <v>1115920</v>
      </c>
      <c r="N361">
        <v>4.9000000000000004</v>
      </c>
      <c r="O361" t="s">
        <v>30</v>
      </c>
      <c r="P361">
        <v>84.1</v>
      </c>
      <c r="Q361" t="str">
        <f t="shared" si="5"/>
        <v>High</v>
      </c>
    </row>
    <row r="362" spans="1:17" x14ac:dyDescent="0.3">
      <c r="A362" t="s">
        <v>1098</v>
      </c>
      <c r="B362" t="s">
        <v>1099</v>
      </c>
      <c r="C362" t="s">
        <v>14</v>
      </c>
      <c r="D362" t="s">
        <v>10</v>
      </c>
      <c r="E362" t="s">
        <v>16</v>
      </c>
      <c r="F362" t="s">
        <v>761</v>
      </c>
      <c r="G362" t="str">
        <f>TEXT(Table1_1[[#This Row],[Joining_Date]],"mmm")</f>
        <v>Aug</v>
      </c>
      <c r="H362" t="str">
        <f>TEXT(Table1_1[[#This Row],[Joining_Date]],"yyyy")</f>
        <v>2024</v>
      </c>
      <c r="I362" s="1"/>
      <c r="J362" t="s">
        <v>29</v>
      </c>
      <c r="K362">
        <f>IF(Table1_1[[#This Row],[Status]]="Exited",1,0)</f>
        <v>0</v>
      </c>
      <c r="L362">
        <f>IF(Table1_1[[#This Row],[Status]]="Exited",0,1)</f>
        <v>1</v>
      </c>
      <c r="M362">
        <v>1023392</v>
      </c>
      <c r="N362">
        <v>2.6</v>
      </c>
      <c r="O362" t="s">
        <v>30</v>
      </c>
      <c r="P362">
        <v>98.1</v>
      </c>
      <c r="Q362" t="str">
        <f t="shared" si="5"/>
        <v>Low</v>
      </c>
    </row>
    <row r="363" spans="1:17" x14ac:dyDescent="0.3">
      <c r="A363" t="s">
        <v>1100</v>
      </c>
      <c r="B363" t="s">
        <v>1101</v>
      </c>
      <c r="C363" t="s">
        <v>14</v>
      </c>
      <c r="D363" t="s">
        <v>33</v>
      </c>
      <c r="E363" t="s">
        <v>50</v>
      </c>
      <c r="F363" t="s">
        <v>1102</v>
      </c>
      <c r="G363" t="str">
        <f>TEXT(Table1_1[[#This Row],[Joining_Date]],"mmm")</f>
        <v>Apr</v>
      </c>
      <c r="H363" t="str">
        <f>TEXT(Table1_1[[#This Row],[Joining_Date]],"yyyy")</f>
        <v>2023</v>
      </c>
      <c r="I363" s="1"/>
      <c r="J363" t="s">
        <v>29</v>
      </c>
      <c r="K363">
        <f>IF(Table1_1[[#This Row],[Status]]="Exited",1,0)</f>
        <v>0</v>
      </c>
      <c r="L363">
        <f>IF(Table1_1[[#This Row],[Status]]="Exited",0,1)</f>
        <v>1</v>
      </c>
      <c r="M363">
        <v>314315</v>
      </c>
      <c r="N363">
        <v>3.1</v>
      </c>
      <c r="O363" t="s">
        <v>30</v>
      </c>
      <c r="P363">
        <v>77.8</v>
      </c>
      <c r="Q363" t="str">
        <f t="shared" si="5"/>
        <v>Low</v>
      </c>
    </row>
    <row r="364" spans="1:17" x14ac:dyDescent="0.3">
      <c r="A364" t="s">
        <v>1103</v>
      </c>
      <c r="B364" t="s">
        <v>1104</v>
      </c>
      <c r="C364" t="s">
        <v>54</v>
      </c>
      <c r="D364" t="s">
        <v>15</v>
      </c>
      <c r="E364" t="s">
        <v>16</v>
      </c>
      <c r="F364" t="s">
        <v>1105</v>
      </c>
      <c r="G364" t="str">
        <f>TEXT(Table1_1[[#This Row],[Joining_Date]],"mmm")</f>
        <v>Dec</v>
      </c>
      <c r="H364" t="str">
        <f>TEXT(Table1_1[[#This Row],[Joining_Date]],"yyyy")</f>
        <v>2024</v>
      </c>
      <c r="I364" s="1"/>
      <c r="J364" t="s">
        <v>29</v>
      </c>
      <c r="K364">
        <f>IF(Table1_1[[#This Row],[Status]]="Exited",1,0)</f>
        <v>0</v>
      </c>
      <c r="L364">
        <f>IF(Table1_1[[#This Row],[Status]]="Exited",0,1)</f>
        <v>1</v>
      </c>
      <c r="M364">
        <v>611423</v>
      </c>
      <c r="N364">
        <v>2.5</v>
      </c>
      <c r="O364" t="s">
        <v>19</v>
      </c>
      <c r="P364">
        <v>90.7</v>
      </c>
      <c r="Q364" t="str">
        <f t="shared" si="5"/>
        <v>Low</v>
      </c>
    </row>
    <row r="365" spans="1:17" x14ac:dyDescent="0.3">
      <c r="A365" t="s">
        <v>1106</v>
      </c>
      <c r="B365" t="s">
        <v>1107</v>
      </c>
      <c r="C365" t="s">
        <v>14</v>
      </c>
      <c r="D365" t="s">
        <v>15</v>
      </c>
      <c r="E365" t="s">
        <v>50</v>
      </c>
      <c r="F365" t="s">
        <v>1108</v>
      </c>
      <c r="G365" t="str">
        <f>TEXT(Table1_1[[#This Row],[Joining_Date]],"mmm")</f>
        <v>May</v>
      </c>
      <c r="H365" t="str">
        <f>TEXT(Table1_1[[#This Row],[Joining_Date]],"yyyy")</f>
        <v>2018</v>
      </c>
      <c r="I365" s="1">
        <v>43610</v>
      </c>
      <c r="J365" t="s">
        <v>18</v>
      </c>
      <c r="K365">
        <f>IF(Table1_1[[#This Row],[Status]]="Exited",1,0)</f>
        <v>1</v>
      </c>
      <c r="L365">
        <f>IF(Table1_1[[#This Row],[Status]]="Exited",0,1)</f>
        <v>0</v>
      </c>
      <c r="M365">
        <v>1004067</v>
      </c>
      <c r="N365">
        <v>2.4</v>
      </c>
      <c r="O365" t="s">
        <v>24</v>
      </c>
      <c r="P365">
        <v>87.9</v>
      </c>
      <c r="Q365" t="str">
        <f t="shared" si="5"/>
        <v>Low</v>
      </c>
    </row>
    <row r="366" spans="1:17" x14ac:dyDescent="0.3">
      <c r="A366" t="s">
        <v>1109</v>
      </c>
      <c r="B366" t="s">
        <v>1110</v>
      </c>
      <c r="C366" t="s">
        <v>14</v>
      </c>
      <c r="D366" t="s">
        <v>33</v>
      </c>
      <c r="E366" t="s">
        <v>45</v>
      </c>
      <c r="F366" t="s">
        <v>1111</v>
      </c>
      <c r="G366" t="str">
        <f>TEXT(Table1_1[[#This Row],[Joining_Date]],"mmm")</f>
        <v>Aug</v>
      </c>
      <c r="H366" t="str">
        <f>TEXT(Table1_1[[#This Row],[Joining_Date]],"yyyy")</f>
        <v>2019</v>
      </c>
      <c r="I366" s="1">
        <v>44118</v>
      </c>
      <c r="J366" t="s">
        <v>18</v>
      </c>
      <c r="K366">
        <f>IF(Table1_1[[#This Row],[Status]]="Exited",1,0)</f>
        <v>1</v>
      </c>
      <c r="L366">
        <f>IF(Table1_1[[#This Row],[Status]]="Exited",0,1)</f>
        <v>0</v>
      </c>
      <c r="M366">
        <v>480765</v>
      </c>
      <c r="N366">
        <v>2.4</v>
      </c>
      <c r="O366" t="s">
        <v>42</v>
      </c>
      <c r="P366">
        <v>79.5</v>
      </c>
      <c r="Q366" t="str">
        <f t="shared" si="5"/>
        <v>Low</v>
      </c>
    </row>
    <row r="367" spans="1:17" x14ac:dyDescent="0.3">
      <c r="A367" t="s">
        <v>1112</v>
      </c>
      <c r="B367" t="s">
        <v>1113</v>
      </c>
      <c r="C367" t="s">
        <v>22</v>
      </c>
      <c r="D367" t="s">
        <v>49</v>
      </c>
      <c r="E367" t="s">
        <v>27</v>
      </c>
      <c r="F367" t="s">
        <v>1114</v>
      </c>
      <c r="G367" t="str">
        <f>TEXT(Table1_1[[#This Row],[Joining_Date]],"mmm")</f>
        <v>Apr</v>
      </c>
      <c r="H367" t="str">
        <f>TEXT(Table1_1[[#This Row],[Joining_Date]],"yyyy")</f>
        <v>2024</v>
      </c>
      <c r="I367" s="1">
        <v>46062</v>
      </c>
      <c r="J367" t="s">
        <v>18</v>
      </c>
      <c r="K367">
        <f>IF(Table1_1[[#This Row],[Status]]="Exited",1,0)</f>
        <v>1</v>
      </c>
      <c r="L367">
        <f>IF(Table1_1[[#This Row],[Status]]="Exited",0,1)</f>
        <v>0</v>
      </c>
      <c r="M367">
        <v>464835</v>
      </c>
      <c r="N367">
        <v>4.2</v>
      </c>
      <c r="O367" t="s">
        <v>24</v>
      </c>
      <c r="P367">
        <v>96.2</v>
      </c>
      <c r="Q367" t="str">
        <f t="shared" si="5"/>
        <v>High</v>
      </c>
    </row>
    <row r="368" spans="1:17" x14ac:dyDescent="0.3">
      <c r="A368" t="s">
        <v>1115</v>
      </c>
      <c r="B368" t="s">
        <v>1116</v>
      </c>
      <c r="C368" t="s">
        <v>14</v>
      </c>
      <c r="D368" t="s">
        <v>15</v>
      </c>
      <c r="E368" t="s">
        <v>27</v>
      </c>
      <c r="F368" t="s">
        <v>1117</v>
      </c>
      <c r="G368" t="str">
        <f>TEXT(Table1_1[[#This Row],[Joining_Date]],"mmm")</f>
        <v>Jun</v>
      </c>
      <c r="H368" t="str">
        <f>TEXT(Table1_1[[#This Row],[Joining_Date]],"yyyy")</f>
        <v>2020</v>
      </c>
      <c r="I368" s="1"/>
      <c r="J368" t="s">
        <v>29</v>
      </c>
      <c r="K368">
        <f>IF(Table1_1[[#This Row],[Status]]="Exited",1,0)</f>
        <v>0</v>
      </c>
      <c r="L368">
        <f>IF(Table1_1[[#This Row],[Status]]="Exited",0,1)</f>
        <v>1</v>
      </c>
      <c r="M368">
        <v>219648</v>
      </c>
      <c r="N368">
        <v>3.2</v>
      </c>
      <c r="O368" t="s">
        <v>42</v>
      </c>
      <c r="P368">
        <v>80.8</v>
      </c>
      <c r="Q368" t="str">
        <f t="shared" si="5"/>
        <v>Low</v>
      </c>
    </row>
    <row r="369" spans="1:17" x14ac:dyDescent="0.3">
      <c r="A369" t="s">
        <v>1118</v>
      </c>
      <c r="B369" t="s">
        <v>1119</v>
      </c>
      <c r="C369" t="s">
        <v>22</v>
      </c>
      <c r="D369" t="s">
        <v>10</v>
      </c>
      <c r="E369" t="s">
        <v>45</v>
      </c>
      <c r="F369" t="s">
        <v>1120</v>
      </c>
      <c r="G369" t="str">
        <f>TEXT(Table1_1[[#This Row],[Joining_Date]],"mmm")</f>
        <v>Nov</v>
      </c>
      <c r="H369" t="str">
        <f>TEXT(Table1_1[[#This Row],[Joining_Date]],"yyyy")</f>
        <v>2019</v>
      </c>
      <c r="I369" s="1">
        <v>44450</v>
      </c>
      <c r="J369" t="s">
        <v>18</v>
      </c>
      <c r="K369">
        <f>IF(Table1_1[[#This Row],[Status]]="Exited",1,0)</f>
        <v>1</v>
      </c>
      <c r="L369">
        <f>IF(Table1_1[[#This Row],[Status]]="Exited",0,1)</f>
        <v>0</v>
      </c>
      <c r="M369">
        <v>1126005</v>
      </c>
      <c r="N369">
        <v>2</v>
      </c>
      <c r="O369" t="s">
        <v>42</v>
      </c>
      <c r="P369">
        <v>92.6</v>
      </c>
      <c r="Q369" t="str">
        <f t="shared" si="5"/>
        <v>Low</v>
      </c>
    </row>
    <row r="370" spans="1:17" x14ac:dyDescent="0.3">
      <c r="A370" t="s">
        <v>1121</v>
      </c>
      <c r="B370" t="s">
        <v>1122</v>
      </c>
      <c r="C370" t="s">
        <v>14</v>
      </c>
      <c r="D370" t="s">
        <v>15</v>
      </c>
      <c r="E370" t="s">
        <v>27</v>
      </c>
      <c r="F370" t="s">
        <v>1123</v>
      </c>
      <c r="G370" t="str">
        <f>TEXT(Table1_1[[#This Row],[Joining_Date]],"mmm")</f>
        <v>Apr</v>
      </c>
      <c r="H370" t="str">
        <f>TEXT(Table1_1[[#This Row],[Joining_Date]],"yyyy")</f>
        <v>2020</v>
      </c>
      <c r="I370" s="1">
        <v>44770</v>
      </c>
      <c r="J370" t="s">
        <v>18</v>
      </c>
      <c r="K370">
        <f>IF(Table1_1[[#This Row],[Status]]="Exited",1,0)</f>
        <v>1</v>
      </c>
      <c r="L370">
        <f>IF(Table1_1[[#This Row],[Status]]="Exited",0,1)</f>
        <v>0</v>
      </c>
      <c r="M370">
        <v>350575</v>
      </c>
      <c r="N370">
        <v>4.5</v>
      </c>
      <c r="O370" t="s">
        <v>19</v>
      </c>
      <c r="P370">
        <v>89.7</v>
      </c>
      <c r="Q370" t="str">
        <f t="shared" si="5"/>
        <v>High</v>
      </c>
    </row>
    <row r="371" spans="1:17" x14ac:dyDescent="0.3">
      <c r="A371" t="s">
        <v>1124</v>
      </c>
      <c r="B371" t="s">
        <v>1125</v>
      </c>
      <c r="C371" t="s">
        <v>37</v>
      </c>
      <c r="D371" t="s">
        <v>33</v>
      </c>
      <c r="E371" t="s">
        <v>27</v>
      </c>
      <c r="F371" t="s">
        <v>1126</v>
      </c>
      <c r="G371" t="str">
        <f>TEXT(Table1_1[[#This Row],[Joining_Date]],"mmm")</f>
        <v>Dec</v>
      </c>
      <c r="H371" t="str">
        <f>TEXT(Table1_1[[#This Row],[Joining_Date]],"yyyy")</f>
        <v>2022</v>
      </c>
      <c r="I371" s="1"/>
      <c r="J371" t="s">
        <v>29</v>
      </c>
      <c r="K371">
        <f>IF(Table1_1[[#This Row],[Status]]="Exited",1,0)</f>
        <v>0</v>
      </c>
      <c r="L371">
        <f>IF(Table1_1[[#This Row],[Status]]="Exited",0,1)</f>
        <v>1</v>
      </c>
      <c r="M371">
        <v>347276</v>
      </c>
      <c r="N371">
        <v>4.5</v>
      </c>
      <c r="O371" t="s">
        <v>24</v>
      </c>
      <c r="P371">
        <v>93.6</v>
      </c>
      <c r="Q371" t="str">
        <f t="shared" si="5"/>
        <v>High</v>
      </c>
    </row>
    <row r="372" spans="1:17" x14ac:dyDescent="0.3">
      <c r="A372" t="s">
        <v>1127</v>
      </c>
      <c r="B372" t="s">
        <v>1128</v>
      </c>
      <c r="C372" t="s">
        <v>54</v>
      </c>
      <c r="D372" t="s">
        <v>15</v>
      </c>
      <c r="E372" t="s">
        <v>27</v>
      </c>
      <c r="F372" t="s">
        <v>1129</v>
      </c>
      <c r="G372" t="str">
        <f>TEXT(Table1_1[[#This Row],[Joining_Date]],"mmm")</f>
        <v>Jan</v>
      </c>
      <c r="H372" t="str">
        <f>TEXT(Table1_1[[#This Row],[Joining_Date]],"yyyy")</f>
        <v>2018</v>
      </c>
      <c r="I372" s="1">
        <v>43359</v>
      </c>
      <c r="J372" t="s">
        <v>18</v>
      </c>
      <c r="K372">
        <f>IF(Table1_1[[#This Row],[Status]]="Exited",1,0)</f>
        <v>1</v>
      </c>
      <c r="L372">
        <f>IF(Table1_1[[#This Row],[Status]]="Exited",0,1)</f>
        <v>0</v>
      </c>
      <c r="M372">
        <v>358708</v>
      </c>
      <c r="N372">
        <v>4.0999999999999996</v>
      </c>
      <c r="O372" t="s">
        <v>30</v>
      </c>
      <c r="P372">
        <v>91.9</v>
      </c>
      <c r="Q372" t="str">
        <f t="shared" si="5"/>
        <v>High</v>
      </c>
    </row>
    <row r="373" spans="1:17" x14ac:dyDescent="0.3">
      <c r="A373" t="s">
        <v>1130</v>
      </c>
      <c r="B373" t="s">
        <v>1131</v>
      </c>
      <c r="C373" t="s">
        <v>22</v>
      </c>
      <c r="D373" t="s">
        <v>10</v>
      </c>
      <c r="E373" t="s">
        <v>50</v>
      </c>
      <c r="F373" t="s">
        <v>1132</v>
      </c>
      <c r="G373" t="str">
        <f>TEXT(Table1_1[[#This Row],[Joining_Date]],"mmm")</f>
        <v>Dec</v>
      </c>
      <c r="H373" t="str">
        <f>TEXT(Table1_1[[#This Row],[Joining_Date]],"yyyy")</f>
        <v>2022</v>
      </c>
      <c r="I373" s="1"/>
      <c r="J373" t="s">
        <v>29</v>
      </c>
      <c r="K373">
        <f>IF(Table1_1[[#This Row],[Status]]="Exited",1,0)</f>
        <v>0</v>
      </c>
      <c r="L373">
        <f>IF(Table1_1[[#This Row],[Status]]="Exited",0,1)</f>
        <v>1</v>
      </c>
      <c r="M373">
        <v>323747</v>
      </c>
      <c r="N373">
        <v>3.9</v>
      </c>
      <c r="O373" t="s">
        <v>19</v>
      </c>
      <c r="P373">
        <v>77.099999999999994</v>
      </c>
      <c r="Q373" t="str">
        <f t="shared" si="5"/>
        <v>Low</v>
      </c>
    </row>
    <row r="374" spans="1:17" x14ac:dyDescent="0.3">
      <c r="A374" t="s">
        <v>1133</v>
      </c>
      <c r="B374" t="s">
        <v>1134</v>
      </c>
      <c r="C374" t="s">
        <v>22</v>
      </c>
      <c r="D374" t="s">
        <v>49</v>
      </c>
      <c r="E374" t="s">
        <v>50</v>
      </c>
      <c r="F374" t="s">
        <v>1135</v>
      </c>
      <c r="G374" t="str">
        <f>TEXT(Table1_1[[#This Row],[Joining_Date]],"mmm")</f>
        <v>Oct</v>
      </c>
      <c r="H374" t="str">
        <f>TEXT(Table1_1[[#This Row],[Joining_Date]],"yyyy")</f>
        <v>2023</v>
      </c>
      <c r="I374" s="1">
        <v>45652</v>
      </c>
      <c r="J374" t="s">
        <v>18</v>
      </c>
      <c r="K374">
        <f>IF(Table1_1[[#This Row],[Status]]="Exited",1,0)</f>
        <v>1</v>
      </c>
      <c r="L374">
        <f>IF(Table1_1[[#This Row],[Status]]="Exited",0,1)</f>
        <v>0</v>
      </c>
      <c r="M374">
        <v>793370</v>
      </c>
      <c r="N374">
        <v>3.5</v>
      </c>
      <c r="O374" t="s">
        <v>42</v>
      </c>
      <c r="P374">
        <v>92.9</v>
      </c>
      <c r="Q374" t="str">
        <f t="shared" si="5"/>
        <v>Low</v>
      </c>
    </row>
    <row r="375" spans="1:17" x14ac:dyDescent="0.3">
      <c r="A375" t="s">
        <v>1136</v>
      </c>
      <c r="B375" t="s">
        <v>1137</v>
      </c>
      <c r="C375" t="s">
        <v>61</v>
      </c>
      <c r="D375" t="s">
        <v>10</v>
      </c>
      <c r="E375" t="s">
        <v>16</v>
      </c>
      <c r="F375" t="s">
        <v>1138</v>
      </c>
      <c r="G375" t="str">
        <f>TEXT(Table1_1[[#This Row],[Joining_Date]],"mmm")</f>
        <v>Mar</v>
      </c>
      <c r="H375" t="str">
        <f>TEXT(Table1_1[[#This Row],[Joining_Date]],"yyyy")</f>
        <v>2021</v>
      </c>
      <c r="I375" s="1">
        <v>45393</v>
      </c>
      <c r="J375" t="s">
        <v>18</v>
      </c>
      <c r="K375">
        <f>IF(Table1_1[[#This Row],[Status]]="Exited",1,0)</f>
        <v>1</v>
      </c>
      <c r="L375">
        <f>IF(Table1_1[[#This Row],[Status]]="Exited",0,1)</f>
        <v>0</v>
      </c>
      <c r="M375">
        <v>963811</v>
      </c>
      <c r="N375">
        <v>2</v>
      </c>
      <c r="O375" t="s">
        <v>30</v>
      </c>
      <c r="P375">
        <v>78.400000000000006</v>
      </c>
      <c r="Q375" t="str">
        <f t="shared" si="5"/>
        <v>Low</v>
      </c>
    </row>
    <row r="376" spans="1:17" x14ac:dyDescent="0.3">
      <c r="A376" t="s">
        <v>1139</v>
      </c>
      <c r="B376" t="s">
        <v>1140</v>
      </c>
      <c r="C376" t="s">
        <v>54</v>
      </c>
      <c r="D376" t="s">
        <v>33</v>
      </c>
      <c r="E376" t="s">
        <v>27</v>
      </c>
      <c r="F376" t="s">
        <v>1141</v>
      </c>
      <c r="G376" t="str">
        <f>TEXT(Table1_1[[#This Row],[Joining_Date]],"mmm")</f>
        <v>Feb</v>
      </c>
      <c r="H376" t="str">
        <f>TEXT(Table1_1[[#This Row],[Joining_Date]],"yyyy")</f>
        <v>2018</v>
      </c>
      <c r="I376" s="1">
        <v>43808</v>
      </c>
      <c r="J376" t="s">
        <v>18</v>
      </c>
      <c r="K376">
        <f>IF(Table1_1[[#This Row],[Status]]="Exited",1,0)</f>
        <v>1</v>
      </c>
      <c r="L376">
        <f>IF(Table1_1[[#This Row],[Status]]="Exited",0,1)</f>
        <v>0</v>
      </c>
      <c r="M376">
        <v>570930</v>
      </c>
      <c r="N376">
        <v>3.7</v>
      </c>
      <c r="O376" t="s">
        <v>19</v>
      </c>
      <c r="P376">
        <v>94.3</v>
      </c>
      <c r="Q376" t="str">
        <f t="shared" si="5"/>
        <v>Low</v>
      </c>
    </row>
    <row r="377" spans="1:17" x14ac:dyDescent="0.3">
      <c r="A377" t="s">
        <v>1142</v>
      </c>
      <c r="B377" t="s">
        <v>1143</v>
      </c>
      <c r="C377" t="s">
        <v>54</v>
      </c>
      <c r="D377" t="s">
        <v>33</v>
      </c>
      <c r="E377" t="s">
        <v>27</v>
      </c>
      <c r="F377" t="s">
        <v>1144</v>
      </c>
      <c r="G377" t="str">
        <f>TEXT(Table1_1[[#This Row],[Joining_Date]],"mmm")</f>
        <v>Jun</v>
      </c>
      <c r="H377" t="str">
        <f>TEXT(Table1_1[[#This Row],[Joining_Date]],"yyyy")</f>
        <v>2021</v>
      </c>
      <c r="I377" s="1"/>
      <c r="J377" t="s">
        <v>29</v>
      </c>
      <c r="K377">
        <f>IF(Table1_1[[#This Row],[Status]]="Exited",1,0)</f>
        <v>0</v>
      </c>
      <c r="L377">
        <f>IF(Table1_1[[#This Row],[Status]]="Exited",0,1)</f>
        <v>1</v>
      </c>
      <c r="M377">
        <v>1069206</v>
      </c>
      <c r="N377">
        <v>3.9</v>
      </c>
      <c r="O377" t="s">
        <v>42</v>
      </c>
      <c r="P377">
        <v>99.4</v>
      </c>
      <c r="Q377" t="str">
        <f t="shared" si="5"/>
        <v>Low</v>
      </c>
    </row>
    <row r="378" spans="1:17" x14ac:dyDescent="0.3">
      <c r="A378" t="s">
        <v>1145</v>
      </c>
      <c r="B378" t="s">
        <v>1146</v>
      </c>
      <c r="C378" t="s">
        <v>22</v>
      </c>
      <c r="D378" t="s">
        <v>15</v>
      </c>
      <c r="E378" t="s">
        <v>27</v>
      </c>
      <c r="F378" t="s">
        <v>1147</v>
      </c>
      <c r="G378" t="str">
        <f>TEXT(Table1_1[[#This Row],[Joining_Date]],"mmm")</f>
        <v>Jul</v>
      </c>
      <c r="H378" t="str">
        <f>TEXT(Table1_1[[#This Row],[Joining_Date]],"yyyy")</f>
        <v>2019</v>
      </c>
      <c r="I378" s="1">
        <v>44673</v>
      </c>
      <c r="J378" t="s">
        <v>18</v>
      </c>
      <c r="K378">
        <f>IF(Table1_1[[#This Row],[Status]]="Exited",1,0)</f>
        <v>1</v>
      </c>
      <c r="L378">
        <f>IF(Table1_1[[#This Row],[Status]]="Exited",0,1)</f>
        <v>0</v>
      </c>
      <c r="M378">
        <v>310507</v>
      </c>
      <c r="N378">
        <v>3.7</v>
      </c>
      <c r="O378" t="s">
        <v>19</v>
      </c>
      <c r="P378">
        <v>79.599999999999994</v>
      </c>
      <c r="Q378" t="str">
        <f t="shared" si="5"/>
        <v>Low</v>
      </c>
    </row>
    <row r="379" spans="1:17" x14ac:dyDescent="0.3">
      <c r="A379" t="s">
        <v>1148</v>
      </c>
      <c r="B379" t="s">
        <v>1149</v>
      </c>
      <c r="C379" t="s">
        <v>54</v>
      </c>
      <c r="D379" t="s">
        <v>33</v>
      </c>
      <c r="E379" t="s">
        <v>45</v>
      </c>
      <c r="F379" t="s">
        <v>1150</v>
      </c>
      <c r="G379" t="str">
        <f>TEXT(Table1_1[[#This Row],[Joining_Date]],"mmm")</f>
        <v>Mar</v>
      </c>
      <c r="H379" t="str">
        <f>TEXT(Table1_1[[#This Row],[Joining_Date]],"yyyy")</f>
        <v>2021</v>
      </c>
      <c r="I379" s="1">
        <v>44444</v>
      </c>
      <c r="J379" t="s">
        <v>18</v>
      </c>
      <c r="K379">
        <f>IF(Table1_1[[#This Row],[Status]]="Exited",1,0)</f>
        <v>1</v>
      </c>
      <c r="L379">
        <f>IF(Table1_1[[#This Row],[Status]]="Exited",0,1)</f>
        <v>0</v>
      </c>
      <c r="M379">
        <v>395972</v>
      </c>
      <c r="N379">
        <v>2.8</v>
      </c>
      <c r="O379" t="s">
        <v>42</v>
      </c>
      <c r="P379">
        <v>90.3</v>
      </c>
      <c r="Q379" t="str">
        <f t="shared" si="5"/>
        <v>Low</v>
      </c>
    </row>
    <row r="380" spans="1:17" x14ac:dyDescent="0.3">
      <c r="A380" t="s">
        <v>1151</v>
      </c>
      <c r="B380" t="s">
        <v>1152</v>
      </c>
      <c r="C380" t="s">
        <v>54</v>
      </c>
      <c r="D380" t="s">
        <v>33</v>
      </c>
      <c r="E380" t="s">
        <v>50</v>
      </c>
      <c r="F380" t="s">
        <v>451</v>
      </c>
      <c r="G380" t="str">
        <f>TEXT(Table1_1[[#This Row],[Joining_Date]],"mmm")</f>
        <v>Sep</v>
      </c>
      <c r="H380" t="str">
        <f>TEXT(Table1_1[[#This Row],[Joining_Date]],"yyyy")</f>
        <v>2022</v>
      </c>
      <c r="I380" s="1"/>
      <c r="J380" t="s">
        <v>29</v>
      </c>
      <c r="K380">
        <f>IF(Table1_1[[#This Row],[Status]]="Exited",1,0)</f>
        <v>0</v>
      </c>
      <c r="L380">
        <f>IF(Table1_1[[#This Row],[Status]]="Exited",0,1)</f>
        <v>1</v>
      </c>
      <c r="M380">
        <v>941720</v>
      </c>
      <c r="N380">
        <v>3.3</v>
      </c>
      <c r="O380" t="s">
        <v>30</v>
      </c>
      <c r="P380">
        <v>79.8</v>
      </c>
      <c r="Q380" t="str">
        <f t="shared" si="5"/>
        <v>Low</v>
      </c>
    </row>
    <row r="381" spans="1:17" x14ac:dyDescent="0.3">
      <c r="A381" t="s">
        <v>1153</v>
      </c>
      <c r="B381" t="s">
        <v>1154</v>
      </c>
      <c r="C381" t="s">
        <v>61</v>
      </c>
      <c r="D381" t="s">
        <v>33</v>
      </c>
      <c r="E381" t="s">
        <v>27</v>
      </c>
      <c r="F381" t="s">
        <v>1155</v>
      </c>
      <c r="G381" t="str">
        <f>TEXT(Table1_1[[#This Row],[Joining_Date]],"mmm")</f>
        <v>Aug</v>
      </c>
      <c r="H381" t="str">
        <f>TEXT(Table1_1[[#This Row],[Joining_Date]],"yyyy")</f>
        <v>2018</v>
      </c>
      <c r="I381" s="1"/>
      <c r="J381" t="s">
        <v>29</v>
      </c>
      <c r="K381">
        <f>IF(Table1_1[[#This Row],[Status]]="Exited",1,0)</f>
        <v>0</v>
      </c>
      <c r="L381">
        <f>IF(Table1_1[[#This Row],[Status]]="Exited",0,1)</f>
        <v>1</v>
      </c>
      <c r="M381">
        <v>1165301</v>
      </c>
      <c r="N381">
        <v>4.4000000000000004</v>
      </c>
      <c r="O381" t="s">
        <v>24</v>
      </c>
      <c r="P381">
        <v>95.2</v>
      </c>
      <c r="Q381" t="str">
        <f t="shared" si="5"/>
        <v>High</v>
      </c>
    </row>
    <row r="382" spans="1:17" x14ac:dyDescent="0.3">
      <c r="A382" t="s">
        <v>1156</v>
      </c>
      <c r="B382" t="s">
        <v>1157</v>
      </c>
      <c r="C382" t="s">
        <v>54</v>
      </c>
      <c r="D382" t="s">
        <v>49</v>
      </c>
      <c r="E382" t="s">
        <v>16</v>
      </c>
      <c r="F382" t="s">
        <v>1158</v>
      </c>
      <c r="G382" t="str">
        <f>TEXT(Table1_1[[#This Row],[Joining_Date]],"mmm")</f>
        <v>Feb</v>
      </c>
      <c r="H382" t="str">
        <f>TEXT(Table1_1[[#This Row],[Joining_Date]],"yyyy")</f>
        <v>2024</v>
      </c>
      <c r="I382" s="1"/>
      <c r="J382" t="s">
        <v>29</v>
      </c>
      <c r="K382">
        <f>IF(Table1_1[[#This Row],[Status]]="Exited",1,0)</f>
        <v>0</v>
      </c>
      <c r="L382">
        <f>IF(Table1_1[[#This Row],[Status]]="Exited",0,1)</f>
        <v>1</v>
      </c>
      <c r="M382">
        <v>343351</v>
      </c>
      <c r="N382">
        <v>2.2000000000000002</v>
      </c>
      <c r="O382" t="s">
        <v>24</v>
      </c>
      <c r="P382">
        <v>94.7</v>
      </c>
      <c r="Q382" t="str">
        <f t="shared" si="5"/>
        <v>Low</v>
      </c>
    </row>
    <row r="383" spans="1:17" x14ac:dyDescent="0.3">
      <c r="A383" t="s">
        <v>1159</v>
      </c>
      <c r="B383" t="s">
        <v>1160</v>
      </c>
      <c r="C383" t="s">
        <v>14</v>
      </c>
      <c r="D383" t="s">
        <v>10</v>
      </c>
      <c r="E383" t="s">
        <v>45</v>
      </c>
      <c r="F383" t="s">
        <v>1161</v>
      </c>
      <c r="G383" t="str">
        <f>TEXT(Table1_1[[#This Row],[Joining_Date]],"mmm")</f>
        <v>Sep</v>
      </c>
      <c r="H383" t="str">
        <f>TEXT(Table1_1[[#This Row],[Joining_Date]],"yyyy")</f>
        <v>2024</v>
      </c>
      <c r="I383" s="1"/>
      <c r="J383" t="s">
        <v>29</v>
      </c>
      <c r="K383">
        <f>IF(Table1_1[[#This Row],[Status]]="Exited",1,0)</f>
        <v>0</v>
      </c>
      <c r="L383">
        <f>IF(Table1_1[[#This Row],[Status]]="Exited",0,1)</f>
        <v>1</v>
      </c>
      <c r="M383">
        <v>980287</v>
      </c>
      <c r="N383">
        <v>4.7</v>
      </c>
      <c r="O383" t="s">
        <v>19</v>
      </c>
      <c r="P383">
        <v>91.2</v>
      </c>
      <c r="Q383" t="str">
        <f t="shared" si="5"/>
        <v>High</v>
      </c>
    </row>
    <row r="384" spans="1:17" x14ac:dyDescent="0.3">
      <c r="A384" t="s">
        <v>1162</v>
      </c>
      <c r="B384" t="s">
        <v>1163</v>
      </c>
      <c r="C384" t="s">
        <v>14</v>
      </c>
      <c r="D384" t="s">
        <v>33</v>
      </c>
      <c r="E384" t="s">
        <v>50</v>
      </c>
      <c r="F384" t="s">
        <v>1164</v>
      </c>
      <c r="G384" t="str">
        <f>TEXT(Table1_1[[#This Row],[Joining_Date]],"mmm")</f>
        <v>Jun</v>
      </c>
      <c r="H384" t="str">
        <f>TEXT(Table1_1[[#This Row],[Joining_Date]],"yyyy")</f>
        <v>2018</v>
      </c>
      <c r="I384" s="1"/>
      <c r="J384" t="s">
        <v>29</v>
      </c>
      <c r="K384">
        <f>IF(Table1_1[[#This Row],[Status]]="Exited",1,0)</f>
        <v>0</v>
      </c>
      <c r="L384">
        <f>IF(Table1_1[[#This Row],[Status]]="Exited",0,1)</f>
        <v>1</v>
      </c>
      <c r="M384">
        <v>984351</v>
      </c>
      <c r="N384">
        <v>4.5</v>
      </c>
      <c r="O384" t="s">
        <v>19</v>
      </c>
      <c r="P384">
        <v>89.1</v>
      </c>
      <c r="Q384" t="str">
        <f t="shared" si="5"/>
        <v>High</v>
      </c>
    </row>
    <row r="385" spans="1:17" x14ac:dyDescent="0.3">
      <c r="A385" t="s">
        <v>1165</v>
      </c>
      <c r="B385" t="s">
        <v>1166</v>
      </c>
      <c r="C385" t="s">
        <v>54</v>
      </c>
      <c r="D385" t="s">
        <v>33</v>
      </c>
      <c r="E385" t="s">
        <v>50</v>
      </c>
      <c r="F385" t="s">
        <v>1167</v>
      </c>
      <c r="G385" t="str">
        <f>TEXT(Table1_1[[#This Row],[Joining_Date]],"mmm")</f>
        <v>May</v>
      </c>
      <c r="H385" t="str">
        <f>TEXT(Table1_1[[#This Row],[Joining_Date]],"yyyy")</f>
        <v>2021</v>
      </c>
      <c r="I385" s="1">
        <v>45041</v>
      </c>
      <c r="J385" t="s">
        <v>18</v>
      </c>
      <c r="K385">
        <f>IF(Table1_1[[#This Row],[Status]]="Exited",1,0)</f>
        <v>1</v>
      </c>
      <c r="L385">
        <f>IF(Table1_1[[#This Row],[Status]]="Exited",0,1)</f>
        <v>0</v>
      </c>
      <c r="M385">
        <v>1083748</v>
      </c>
      <c r="N385">
        <v>4.2</v>
      </c>
      <c r="O385" t="s">
        <v>24</v>
      </c>
      <c r="P385">
        <v>84.3</v>
      </c>
      <c r="Q385" t="str">
        <f t="shared" si="5"/>
        <v>High</v>
      </c>
    </row>
    <row r="386" spans="1:17" x14ac:dyDescent="0.3">
      <c r="A386" t="s">
        <v>1168</v>
      </c>
      <c r="B386" t="s">
        <v>1169</v>
      </c>
      <c r="C386" t="s">
        <v>61</v>
      </c>
      <c r="D386" t="s">
        <v>15</v>
      </c>
      <c r="E386" t="s">
        <v>50</v>
      </c>
      <c r="F386" t="s">
        <v>1170</v>
      </c>
      <c r="G386" t="str">
        <f>TEXT(Table1_1[[#This Row],[Joining_Date]],"mmm")</f>
        <v>Sep</v>
      </c>
      <c r="H386" t="str">
        <f>TEXT(Table1_1[[#This Row],[Joining_Date]],"yyyy")</f>
        <v>2018</v>
      </c>
      <c r="I386" s="1">
        <v>43663</v>
      </c>
      <c r="J386" t="s">
        <v>18</v>
      </c>
      <c r="K386">
        <f>IF(Table1_1[[#This Row],[Status]]="Exited",1,0)</f>
        <v>1</v>
      </c>
      <c r="L386">
        <f>IF(Table1_1[[#This Row],[Status]]="Exited",0,1)</f>
        <v>0</v>
      </c>
      <c r="M386">
        <v>957188</v>
      </c>
      <c r="N386">
        <v>3.6</v>
      </c>
      <c r="O386" t="s">
        <v>42</v>
      </c>
      <c r="P386">
        <v>90.4</v>
      </c>
      <c r="Q386" t="str">
        <f t="shared" ref="Q386:Q449" si="6">IF(AND(N386&gt;4,P386&gt;=75),"High",
 IF(AND(N386&gt;2,N386&lt;=4,P386&gt;40,P386&lt;=74),"Average","Low"))</f>
        <v>Low</v>
      </c>
    </row>
    <row r="387" spans="1:17" x14ac:dyDescent="0.3">
      <c r="A387" t="s">
        <v>1171</v>
      </c>
      <c r="B387" t="s">
        <v>1172</v>
      </c>
      <c r="C387" t="s">
        <v>37</v>
      </c>
      <c r="D387" t="s">
        <v>49</v>
      </c>
      <c r="E387" t="s">
        <v>45</v>
      </c>
      <c r="F387" t="s">
        <v>1173</v>
      </c>
      <c r="G387" t="str">
        <f>TEXT(Table1_1[[#This Row],[Joining_Date]],"mmm")</f>
        <v>Oct</v>
      </c>
      <c r="H387" t="str">
        <f>TEXT(Table1_1[[#This Row],[Joining_Date]],"yyyy")</f>
        <v>2018</v>
      </c>
      <c r="I387" s="1"/>
      <c r="J387" t="s">
        <v>29</v>
      </c>
      <c r="K387">
        <f>IF(Table1_1[[#This Row],[Status]]="Exited",1,0)</f>
        <v>0</v>
      </c>
      <c r="L387">
        <f>IF(Table1_1[[#This Row],[Status]]="Exited",0,1)</f>
        <v>1</v>
      </c>
      <c r="M387">
        <v>561046</v>
      </c>
      <c r="N387">
        <v>4.7</v>
      </c>
      <c r="O387" t="s">
        <v>19</v>
      </c>
      <c r="P387">
        <v>88.6</v>
      </c>
      <c r="Q387" t="str">
        <f t="shared" si="6"/>
        <v>High</v>
      </c>
    </row>
    <row r="388" spans="1:17" x14ac:dyDescent="0.3">
      <c r="A388" t="s">
        <v>1174</v>
      </c>
      <c r="B388" t="s">
        <v>1175</v>
      </c>
      <c r="C388" t="s">
        <v>22</v>
      </c>
      <c r="D388" t="s">
        <v>49</v>
      </c>
      <c r="E388" t="s">
        <v>50</v>
      </c>
      <c r="F388" t="s">
        <v>1176</v>
      </c>
      <c r="G388" t="str">
        <f>TEXT(Table1_1[[#This Row],[Joining_Date]],"mmm")</f>
        <v>Aug</v>
      </c>
      <c r="H388" t="str">
        <f>TEXT(Table1_1[[#This Row],[Joining_Date]],"yyyy")</f>
        <v>2024</v>
      </c>
      <c r="I388" s="1">
        <v>46646</v>
      </c>
      <c r="J388" t="s">
        <v>18</v>
      </c>
      <c r="K388">
        <f>IF(Table1_1[[#This Row],[Status]]="Exited",1,0)</f>
        <v>1</v>
      </c>
      <c r="L388">
        <f>IF(Table1_1[[#This Row],[Status]]="Exited",0,1)</f>
        <v>0</v>
      </c>
      <c r="M388">
        <v>1125925</v>
      </c>
      <c r="N388">
        <v>2.2999999999999998</v>
      </c>
      <c r="O388" t="s">
        <v>24</v>
      </c>
      <c r="P388">
        <v>93.4</v>
      </c>
      <c r="Q388" t="str">
        <f t="shared" si="6"/>
        <v>Low</v>
      </c>
    </row>
    <row r="389" spans="1:17" x14ac:dyDescent="0.3">
      <c r="A389" t="s">
        <v>1177</v>
      </c>
      <c r="B389" t="s">
        <v>1178</v>
      </c>
      <c r="C389" t="s">
        <v>22</v>
      </c>
      <c r="D389" t="s">
        <v>49</v>
      </c>
      <c r="E389" t="s">
        <v>45</v>
      </c>
      <c r="F389" t="s">
        <v>1179</v>
      </c>
      <c r="G389" t="str">
        <f>TEXT(Table1_1[[#This Row],[Joining_Date]],"mmm")</f>
        <v>Nov</v>
      </c>
      <c r="H389" t="str">
        <f>TEXT(Table1_1[[#This Row],[Joining_Date]],"yyyy")</f>
        <v>2018</v>
      </c>
      <c r="I389" s="1">
        <v>44270</v>
      </c>
      <c r="J389" t="s">
        <v>18</v>
      </c>
      <c r="K389">
        <f>IF(Table1_1[[#This Row],[Status]]="Exited",1,0)</f>
        <v>1</v>
      </c>
      <c r="L389">
        <f>IF(Table1_1[[#This Row],[Status]]="Exited",0,1)</f>
        <v>0</v>
      </c>
      <c r="M389">
        <v>345591</v>
      </c>
      <c r="N389">
        <v>5</v>
      </c>
      <c r="O389" t="s">
        <v>19</v>
      </c>
      <c r="P389">
        <v>97.1</v>
      </c>
      <c r="Q389" t="str">
        <f t="shared" si="6"/>
        <v>High</v>
      </c>
    </row>
    <row r="390" spans="1:17" x14ac:dyDescent="0.3">
      <c r="A390" t="s">
        <v>1181</v>
      </c>
      <c r="B390" t="s">
        <v>1182</v>
      </c>
      <c r="C390" t="s">
        <v>54</v>
      </c>
      <c r="D390" t="s">
        <v>33</v>
      </c>
      <c r="E390" t="s">
        <v>45</v>
      </c>
      <c r="F390" t="s">
        <v>1183</v>
      </c>
      <c r="G390" t="str">
        <f>TEXT(Table1_1[[#This Row],[Joining_Date]],"mmm")</f>
        <v>Feb</v>
      </c>
      <c r="H390" t="str">
        <f>TEXT(Table1_1[[#This Row],[Joining_Date]],"yyyy")</f>
        <v>2019</v>
      </c>
      <c r="I390" s="1"/>
      <c r="J390" t="s">
        <v>29</v>
      </c>
      <c r="K390">
        <f>IF(Table1_1[[#This Row],[Status]]="Exited",1,0)</f>
        <v>0</v>
      </c>
      <c r="L390">
        <f>IF(Table1_1[[#This Row],[Status]]="Exited",0,1)</f>
        <v>1</v>
      </c>
      <c r="M390">
        <v>1178147</v>
      </c>
      <c r="N390">
        <v>4</v>
      </c>
      <c r="O390" t="s">
        <v>24</v>
      </c>
      <c r="P390">
        <v>76.8</v>
      </c>
      <c r="Q390" t="str">
        <f t="shared" si="6"/>
        <v>Low</v>
      </c>
    </row>
    <row r="391" spans="1:17" x14ac:dyDescent="0.3">
      <c r="A391" t="s">
        <v>1184</v>
      </c>
      <c r="B391" t="s">
        <v>1185</v>
      </c>
      <c r="C391" t="s">
        <v>22</v>
      </c>
      <c r="D391" t="s">
        <v>15</v>
      </c>
      <c r="E391" t="s">
        <v>16</v>
      </c>
      <c r="F391" t="s">
        <v>1186</v>
      </c>
      <c r="G391" t="str">
        <f>TEXT(Table1_1[[#This Row],[Joining_Date]],"mmm")</f>
        <v>Jun</v>
      </c>
      <c r="H391" t="str">
        <f>TEXT(Table1_1[[#This Row],[Joining_Date]],"yyyy")</f>
        <v>2022</v>
      </c>
      <c r="I391" s="1">
        <v>45420</v>
      </c>
      <c r="J391" t="s">
        <v>18</v>
      </c>
      <c r="K391">
        <f>IF(Table1_1[[#This Row],[Status]]="Exited",1,0)</f>
        <v>1</v>
      </c>
      <c r="L391">
        <f>IF(Table1_1[[#This Row],[Status]]="Exited",0,1)</f>
        <v>0</v>
      </c>
      <c r="M391">
        <v>867183</v>
      </c>
      <c r="N391">
        <v>2.9</v>
      </c>
      <c r="O391" t="s">
        <v>24</v>
      </c>
      <c r="P391">
        <v>81.5</v>
      </c>
      <c r="Q391" t="str">
        <f t="shared" si="6"/>
        <v>Low</v>
      </c>
    </row>
    <row r="392" spans="1:17" x14ac:dyDescent="0.3">
      <c r="A392" t="s">
        <v>1187</v>
      </c>
      <c r="B392" t="s">
        <v>1188</v>
      </c>
      <c r="C392" t="s">
        <v>54</v>
      </c>
      <c r="D392" t="s">
        <v>33</v>
      </c>
      <c r="E392" t="s">
        <v>50</v>
      </c>
      <c r="F392" t="s">
        <v>605</v>
      </c>
      <c r="G392" t="str">
        <f>TEXT(Table1_1[[#This Row],[Joining_Date]],"mmm")</f>
        <v>Apr</v>
      </c>
      <c r="H392" t="str">
        <f>TEXT(Table1_1[[#This Row],[Joining_Date]],"yyyy")</f>
        <v>2018</v>
      </c>
      <c r="I392" s="1">
        <v>43273</v>
      </c>
      <c r="J392" t="s">
        <v>18</v>
      </c>
      <c r="K392">
        <f>IF(Table1_1[[#This Row],[Status]]="Exited",1,0)</f>
        <v>1</v>
      </c>
      <c r="L392">
        <f>IF(Table1_1[[#This Row],[Status]]="Exited",0,1)</f>
        <v>0</v>
      </c>
      <c r="M392">
        <v>1064691</v>
      </c>
      <c r="N392">
        <v>2.6</v>
      </c>
      <c r="O392" t="s">
        <v>30</v>
      </c>
      <c r="P392">
        <v>92.5</v>
      </c>
      <c r="Q392" t="str">
        <f t="shared" si="6"/>
        <v>Low</v>
      </c>
    </row>
    <row r="393" spans="1:17" x14ac:dyDescent="0.3">
      <c r="A393" t="s">
        <v>1189</v>
      </c>
      <c r="B393" t="s">
        <v>1190</v>
      </c>
      <c r="C393" t="s">
        <v>54</v>
      </c>
      <c r="D393" t="s">
        <v>10</v>
      </c>
      <c r="E393" t="s">
        <v>50</v>
      </c>
      <c r="F393" t="s">
        <v>650</v>
      </c>
      <c r="G393" t="str">
        <f>TEXT(Table1_1[[#This Row],[Joining_Date]],"mmm")</f>
        <v>Sep</v>
      </c>
      <c r="H393" t="str">
        <f>TEXT(Table1_1[[#This Row],[Joining_Date]],"yyyy")</f>
        <v>2024</v>
      </c>
      <c r="I393" s="1">
        <v>46443</v>
      </c>
      <c r="J393" t="s">
        <v>18</v>
      </c>
      <c r="K393">
        <f>IF(Table1_1[[#This Row],[Status]]="Exited",1,0)</f>
        <v>1</v>
      </c>
      <c r="L393">
        <f>IF(Table1_1[[#This Row],[Status]]="Exited",0,1)</f>
        <v>0</v>
      </c>
      <c r="M393">
        <v>449758</v>
      </c>
      <c r="N393">
        <v>3.6</v>
      </c>
      <c r="O393" t="s">
        <v>19</v>
      </c>
      <c r="P393">
        <v>86.1</v>
      </c>
      <c r="Q393" t="str">
        <f t="shared" si="6"/>
        <v>Low</v>
      </c>
    </row>
    <row r="394" spans="1:17" x14ac:dyDescent="0.3">
      <c r="A394" t="s">
        <v>1191</v>
      </c>
      <c r="B394" t="s">
        <v>1192</v>
      </c>
      <c r="C394" t="s">
        <v>37</v>
      </c>
      <c r="D394" t="s">
        <v>10</v>
      </c>
      <c r="E394" t="s">
        <v>45</v>
      </c>
      <c r="F394" t="s">
        <v>1186</v>
      </c>
      <c r="G394" t="str">
        <f>TEXT(Table1_1[[#This Row],[Joining_Date]],"mmm")</f>
        <v>Jun</v>
      </c>
      <c r="H394" t="str">
        <f>TEXT(Table1_1[[#This Row],[Joining_Date]],"yyyy")</f>
        <v>2022</v>
      </c>
      <c r="I394" s="1"/>
      <c r="J394" t="s">
        <v>29</v>
      </c>
      <c r="K394">
        <f>IF(Table1_1[[#This Row],[Status]]="Exited",1,0)</f>
        <v>0</v>
      </c>
      <c r="L394">
        <f>IF(Table1_1[[#This Row],[Status]]="Exited",0,1)</f>
        <v>1</v>
      </c>
      <c r="M394">
        <v>1170150</v>
      </c>
      <c r="N394">
        <v>2.5</v>
      </c>
      <c r="O394" t="s">
        <v>24</v>
      </c>
      <c r="P394">
        <v>98.4</v>
      </c>
      <c r="Q394" t="str">
        <f t="shared" si="6"/>
        <v>Low</v>
      </c>
    </row>
    <row r="395" spans="1:17" x14ac:dyDescent="0.3">
      <c r="A395" t="s">
        <v>1193</v>
      </c>
      <c r="B395" t="s">
        <v>1194</v>
      </c>
      <c r="C395" t="s">
        <v>37</v>
      </c>
      <c r="D395" t="s">
        <v>49</v>
      </c>
      <c r="E395" t="s">
        <v>45</v>
      </c>
      <c r="F395" t="s">
        <v>1195</v>
      </c>
      <c r="G395" t="str">
        <f>TEXT(Table1_1[[#This Row],[Joining_Date]],"mmm")</f>
        <v>Aug</v>
      </c>
      <c r="H395" t="str">
        <f>TEXT(Table1_1[[#This Row],[Joining_Date]],"yyyy")</f>
        <v>2020</v>
      </c>
      <c r="I395" s="1">
        <v>44387</v>
      </c>
      <c r="J395" t="s">
        <v>18</v>
      </c>
      <c r="K395">
        <f>IF(Table1_1[[#This Row],[Status]]="Exited",1,0)</f>
        <v>1</v>
      </c>
      <c r="L395">
        <f>IF(Table1_1[[#This Row],[Status]]="Exited",0,1)</f>
        <v>0</v>
      </c>
      <c r="M395">
        <v>339620</v>
      </c>
      <c r="N395">
        <v>4.5</v>
      </c>
      <c r="O395" t="s">
        <v>42</v>
      </c>
      <c r="P395">
        <v>92.3</v>
      </c>
      <c r="Q395" t="str">
        <f t="shared" si="6"/>
        <v>High</v>
      </c>
    </row>
    <row r="396" spans="1:17" x14ac:dyDescent="0.3">
      <c r="A396" t="s">
        <v>1196</v>
      </c>
      <c r="B396" t="s">
        <v>1197</v>
      </c>
      <c r="C396" t="s">
        <v>61</v>
      </c>
      <c r="D396" t="s">
        <v>10</v>
      </c>
      <c r="E396" t="s">
        <v>16</v>
      </c>
      <c r="F396" t="s">
        <v>1198</v>
      </c>
      <c r="G396" t="str">
        <f>TEXT(Table1_1[[#This Row],[Joining_Date]],"mmm")</f>
        <v>Jul</v>
      </c>
      <c r="H396" t="str">
        <f>TEXT(Table1_1[[#This Row],[Joining_Date]],"yyyy")</f>
        <v>2021</v>
      </c>
      <c r="I396" s="1"/>
      <c r="J396" t="s">
        <v>29</v>
      </c>
      <c r="K396">
        <f>IF(Table1_1[[#This Row],[Status]]="Exited",1,0)</f>
        <v>0</v>
      </c>
      <c r="L396">
        <f>IF(Table1_1[[#This Row],[Status]]="Exited",0,1)</f>
        <v>1</v>
      </c>
      <c r="M396">
        <v>370109</v>
      </c>
      <c r="N396">
        <v>4.2</v>
      </c>
      <c r="O396" t="s">
        <v>19</v>
      </c>
      <c r="P396">
        <v>99.1</v>
      </c>
      <c r="Q396" t="str">
        <f t="shared" si="6"/>
        <v>High</v>
      </c>
    </row>
    <row r="397" spans="1:17" x14ac:dyDescent="0.3">
      <c r="A397" t="s">
        <v>1199</v>
      </c>
      <c r="B397" t="s">
        <v>1200</v>
      </c>
      <c r="C397" t="s">
        <v>54</v>
      </c>
      <c r="D397" t="s">
        <v>10</v>
      </c>
      <c r="E397" t="s">
        <v>16</v>
      </c>
      <c r="F397" t="s">
        <v>1201</v>
      </c>
      <c r="G397" t="str">
        <f>TEXT(Table1_1[[#This Row],[Joining_Date]],"mmm")</f>
        <v>Nov</v>
      </c>
      <c r="H397" t="str">
        <f>TEXT(Table1_1[[#This Row],[Joining_Date]],"yyyy")</f>
        <v>2020</v>
      </c>
      <c r="I397" s="1"/>
      <c r="J397" t="s">
        <v>29</v>
      </c>
      <c r="K397">
        <f>IF(Table1_1[[#This Row],[Status]]="Exited",1,0)</f>
        <v>0</v>
      </c>
      <c r="L397">
        <f>IF(Table1_1[[#This Row],[Status]]="Exited",0,1)</f>
        <v>1</v>
      </c>
      <c r="M397">
        <v>265357</v>
      </c>
      <c r="N397">
        <v>3.7</v>
      </c>
      <c r="O397" t="s">
        <v>42</v>
      </c>
      <c r="P397">
        <v>76.099999999999994</v>
      </c>
      <c r="Q397" t="str">
        <f t="shared" si="6"/>
        <v>Low</v>
      </c>
    </row>
    <row r="398" spans="1:17" x14ac:dyDescent="0.3">
      <c r="A398" t="s">
        <v>1202</v>
      </c>
      <c r="B398" t="s">
        <v>1203</v>
      </c>
      <c r="C398" t="s">
        <v>54</v>
      </c>
      <c r="D398" t="s">
        <v>33</v>
      </c>
      <c r="E398" t="s">
        <v>27</v>
      </c>
      <c r="F398" t="s">
        <v>1204</v>
      </c>
      <c r="G398" t="str">
        <f>TEXT(Table1_1[[#This Row],[Joining_Date]],"mmm")</f>
        <v>Jan</v>
      </c>
      <c r="H398" t="str">
        <f>TEXT(Table1_1[[#This Row],[Joining_Date]],"yyyy")</f>
        <v>2020</v>
      </c>
      <c r="I398" s="1"/>
      <c r="J398" t="s">
        <v>29</v>
      </c>
      <c r="K398">
        <f>IF(Table1_1[[#This Row],[Status]]="Exited",1,0)</f>
        <v>0</v>
      </c>
      <c r="L398">
        <f>IF(Table1_1[[#This Row],[Status]]="Exited",0,1)</f>
        <v>1</v>
      </c>
      <c r="M398">
        <v>1001334</v>
      </c>
      <c r="N398">
        <v>3.3</v>
      </c>
      <c r="O398" t="s">
        <v>30</v>
      </c>
      <c r="P398">
        <v>95.6</v>
      </c>
      <c r="Q398" t="str">
        <f t="shared" si="6"/>
        <v>Low</v>
      </c>
    </row>
    <row r="399" spans="1:17" x14ac:dyDescent="0.3">
      <c r="A399" t="s">
        <v>1205</v>
      </c>
      <c r="B399" t="s">
        <v>1206</v>
      </c>
      <c r="C399" t="s">
        <v>14</v>
      </c>
      <c r="D399" t="s">
        <v>15</v>
      </c>
      <c r="E399" t="s">
        <v>16</v>
      </c>
      <c r="F399" t="s">
        <v>1207</v>
      </c>
      <c r="G399" t="str">
        <f>TEXT(Table1_1[[#This Row],[Joining_Date]],"mmm")</f>
        <v>Jun</v>
      </c>
      <c r="H399" t="str">
        <f>TEXT(Table1_1[[#This Row],[Joining_Date]],"yyyy")</f>
        <v>2018</v>
      </c>
      <c r="I399" s="1"/>
      <c r="J399" t="s">
        <v>29</v>
      </c>
      <c r="K399">
        <f>IF(Table1_1[[#This Row],[Status]]="Exited",1,0)</f>
        <v>0</v>
      </c>
      <c r="L399">
        <f>IF(Table1_1[[#This Row],[Status]]="Exited",0,1)</f>
        <v>1</v>
      </c>
      <c r="M399">
        <v>243523</v>
      </c>
      <c r="N399">
        <v>4.9000000000000004</v>
      </c>
      <c r="O399" t="s">
        <v>24</v>
      </c>
      <c r="P399">
        <v>88.8</v>
      </c>
      <c r="Q399" t="str">
        <f t="shared" si="6"/>
        <v>High</v>
      </c>
    </row>
    <row r="400" spans="1:17" x14ac:dyDescent="0.3">
      <c r="A400" t="s">
        <v>1208</v>
      </c>
      <c r="B400" t="s">
        <v>1209</v>
      </c>
      <c r="C400" t="s">
        <v>61</v>
      </c>
      <c r="D400" t="s">
        <v>49</v>
      </c>
      <c r="E400" t="s">
        <v>45</v>
      </c>
      <c r="F400" t="s">
        <v>1210</v>
      </c>
      <c r="G400" t="str">
        <f>TEXT(Table1_1[[#This Row],[Joining_Date]],"mmm")</f>
        <v>Sep</v>
      </c>
      <c r="H400" t="str">
        <f>TEXT(Table1_1[[#This Row],[Joining_Date]],"yyyy")</f>
        <v>2018</v>
      </c>
      <c r="I400" s="1">
        <v>43743</v>
      </c>
      <c r="J400" t="s">
        <v>18</v>
      </c>
      <c r="K400">
        <f>IF(Table1_1[[#This Row],[Status]]="Exited",1,0)</f>
        <v>1</v>
      </c>
      <c r="L400">
        <f>IF(Table1_1[[#This Row],[Status]]="Exited",0,1)</f>
        <v>0</v>
      </c>
      <c r="M400">
        <v>1156295</v>
      </c>
      <c r="N400">
        <v>3.7</v>
      </c>
      <c r="O400" t="s">
        <v>42</v>
      </c>
      <c r="P400">
        <v>89.1</v>
      </c>
      <c r="Q400" t="str">
        <f t="shared" si="6"/>
        <v>Low</v>
      </c>
    </row>
    <row r="401" spans="1:17" x14ac:dyDescent="0.3">
      <c r="A401" t="s">
        <v>1211</v>
      </c>
      <c r="B401" t="s">
        <v>1212</v>
      </c>
      <c r="C401" t="s">
        <v>14</v>
      </c>
      <c r="D401" t="s">
        <v>10</v>
      </c>
      <c r="E401" t="s">
        <v>27</v>
      </c>
      <c r="F401" t="s">
        <v>1213</v>
      </c>
      <c r="G401" t="str">
        <f>TEXT(Table1_1[[#This Row],[Joining_Date]],"mmm")</f>
        <v>Mar</v>
      </c>
      <c r="H401" t="str">
        <f>TEXT(Table1_1[[#This Row],[Joining_Date]],"yyyy")</f>
        <v>2018</v>
      </c>
      <c r="I401" s="1"/>
      <c r="J401" t="s">
        <v>29</v>
      </c>
      <c r="K401">
        <f>IF(Table1_1[[#This Row],[Status]]="Exited",1,0)</f>
        <v>0</v>
      </c>
      <c r="L401">
        <f>IF(Table1_1[[#This Row],[Status]]="Exited",0,1)</f>
        <v>1</v>
      </c>
      <c r="M401">
        <v>985334</v>
      </c>
      <c r="N401">
        <v>2.7</v>
      </c>
      <c r="O401" t="s">
        <v>30</v>
      </c>
      <c r="P401">
        <v>93</v>
      </c>
      <c r="Q401" t="str">
        <f t="shared" si="6"/>
        <v>Low</v>
      </c>
    </row>
    <row r="402" spans="1:17" x14ac:dyDescent="0.3">
      <c r="A402" t="s">
        <v>1214</v>
      </c>
      <c r="B402" t="s">
        <v>1215</v>
      </c>
      <c r="C402" t="s">
        <v>14</v>
      </c>
      <c r="D402" t="s">
        <v>15</v>
      </c>
      <c r="E402" t="s">
        <v>50</v>
      </c>
      <c r="F402" t="s">
        <v>175</v>
      </c>
      <c r="G402" t="str">
        <f>TEXT(Table1_1[[#This Row],[Joining_Date]],"mmm")</f>
        <v>Jan</v>
      </c>
      <c r="H402" t="str">
        <f>TEXT(Table1_1[[#This Row],[Joining_Date]],"yyyy")</f>
        <v>2024</v>
      </c>
      <c r="I402" s="1">
        <v>46804</v>
      </c>
      <c r="J402" t="s">
        <v>18</v>
      </c>
      <c r="K402">
        <f>IF(Table1_1[[#This Row],[Status]]="Exited",1,0)</f>
        <v>1</v>
      </c>
      <c r="L402">
        <f>IF(Table1_1[[#This Row],[Status]]="Exited",0,1)</f>
        <v>0</v>
      </c>
      <c r="M402">
        <v>755218</v>
      </c>
      <c r="N402">
        <v>4.7</v>
      </c>
      <c r="O402" t="s">
        <v>24</v>
      </c>
      <c r="P402">
        <v>79.2</v>
      </c>
      <c r="Q402" t="str">
        <f t="shared" si="6"/>
        <v>High</v>
      </c>
    </row>
    <row r="403" spans="1:17" x14ac:dyDescent="0.3">
      <c r="A403" t="s">
        <v>1216</v>
      </c>
      <c r="B403" t="s">
        <v>1217</v>
      </c>
      <c r="C403" t="s">
        <v>37</v>
      </c>
      <c r="D403" t="s">
        <v>10</v>
      </c>
      <c r="E403" t="s">
        <v>45</v>
      </c>
      <c r="F403" t="s">
        <v>1218</v>
      </c>
      <c r="G403" t="str">
        <f>TEXT(Table1_1[[#This Row],[Joining_Date]],"mmm")</f>
        <v>Apr</v>
      </c>
      <c r="H403" t="str">
        <f>TEXT(Table1_1[[#This Row],[Joining_Date]],"yyyy")</f>
        <v>2023</v>
      </c>
      <c r="I403" s="1">
        <v>46285</v>
      </c>
      <c r="J403" t="s">
        <v>18</v>
      </c>
      <c r="K403">
        <f>IF(Table1_1[[#This Row],[Status]]="Exited",1,0)</f>
        <v>1</v>
      </c>
      <c r="L403">
        <f>IF(Table1_1[[#This Row],[Status]]="Exited",0,1)</f>
        <v>0</v>
      </c>
      <c r="M403">
        <v>632606</v>
      </c>
      <c r="N403">
        <v>4.4000000000000004</v>
      </c>
      <c r="O403" t="s">
        <v>19</v>
      </c>
      <c r="P403">
        <v>86.8</v>
      </c>
      <c r="Q403" t="str">
        <f t="shared" si="6"/>
        <v>High</v>
      </c>
    </row>
    <row r="404" spans="1:17" x14ac:dyDescent="0.3">
      <c r="A404" t="s">
        <v>1219</v>
      </c>
      <c r="B404" t="s">
        <v>1220</v>
      </c>
      <c r="C404" t="s">
        <v>61</v>
      </c>
      <c r="D404" t="s">
        <v>49</v>
      </c>
      <c r="E404" t="s">
        <v>50</v>
      </c>
      <c r="F404" t="s">
        <v>1221</v>
      </c>
      <c r="G404" t="str">
        <f>TEXT(Table1_1[[#This Row],[Joining_Date]],"mmm")</f>
        <v>Oct</v>
      </c>
      <c r="H404" t="str">
        <f>TEXT(Table1_1[[#This Row],[Joining_Date]],"yyyy")</f>
        <v>2021</v>
      </c>
      <c r="I404" s="1"/>
      <c r="J404" t="s">
        <v>29</v>
      </c>
      <c r="K404">
        <f>IF(Table1_1[[#This Row],[Status]]="Exited",1,0)</f>
        <v>0</v>
      </c>
      <c r="L404">
        <f>IF(Table1_1[[#This Row],[Status]]="Exited",0,1)</f>
        <v>1</v>
      </c>
      <c r="M404">
        <v>433399</v>
      </c>
      <c r="N404">
        <v>3.8</v>
      </c>
      <c r="O404" t="s">
        <v>42</v>
      </c>
      <c r="P404">
        <v>82.3</v>
      </c>
      <c r="Q404" t="str">
        <f t="shared" si="6"/>
        <v>Low</v>
      </c>
    </row>
    <row r="405" spans="1:17" x14ac:dyDescent="0.3">
      <c r="A405" t="s">
        <v>1222</v>
      </c>
      <c r="B405" t="s">
        <v>1223</v>
      </c>
      <c r="C405" t="s">
        <v>37</v>
      </c>
      <c r="D405" t="s">
        <v>33</v>
      </c>
      <c r="E405" t="s">
        <v>16</v>
      </c>
      <c r="F405" t="s">
        <v>1224</v>
      </c>
      <c r="G405" t="str">
        <f>TEXT(Table1_1[[#This Row],[Joining_Date]],"mmm")</f>
        <v>Mar</v>
      </c>
      <c r="H405" t="str">
        <f>TEXT(Table1_1[[#This Row],[Joining_Date]],"yyyy")</f>
        <v>2018</v>
      </c>
      <c r="I405" s="1"/>
      <c r="J405" t="s">
        <v>29</v>
      </c>
      <c r="K405">
        <f>IF(Table1_1[[#This Row],[Status]]="Exited",1,0)</f>
        <v>0</v>
      </c>
      <c r="L405">
        <f>IF(Table1_1[[#This Row],[Status]]="Exited",0,1)</f>
        <v>1</v>
      </c>
      <c r="M405">
        <v>440304</v>
      </c>
      <c r="N405">
        <v>4.0999999999999996</v>
      </c>
      <c r="O405" t="s">
        <v>30</v>
      </c>
      <c r="P405">
        <v>76.3</v>
      </c>
      <c r="Q405" t="str">
        <f t="shared" si="6"/>
        <v>High</v>
      </c>
    </row>
    <row r="406" spans="1:17" x14ac:dyDescent="0.3">
      <c r="A406" t="s">
        <v>1225</v>
      </c>
      <c r="B406" t="s">
        <v>1226</v>
      </c>
      <c r="C406" t="s">
        <v>22</v>
      </c>
      <c r="D406" t="s">
        <v>33</v>
      </c>
      <c r="E406" t="s">
        <v>50</v>
      </c>
      <c r="F406" t="s">
        <v>1227</v>
      </c>
      <c r="G406" t="str">
        <f>TEXT(Table1_1[[#This Row],[Joining_Date]],"mmm")</f>
        <v>Feb</v>
      </c>
      <c r="H406" t="str">
        <f>TEXT(Table1_1[[#This Row],[Joining_Date]],"yyyy")</f>
        <v>2023</v>
      </c>
      <c r="I406" s="1">
        <v>45826</v>
      </c>
      <c r="J406" t="s">
        <v>18</v>
      </c>
      <c r="K406">
        <f>IF(Table1_1[[#This Row],[Status]]="Exited",1,0)</f>
        <v>1</v>
      </c>
      <c r="L406">
        <f>IF(Table1_1[[#This Row],[Status]]="Exited",0,1)</f>
        <v>0</v>
      </c>
      <c r="M406">
        <v>665470</v>
      </c>
      <c r="N406">
        <v>2.6</v>
      </c>
      <c r="O406" t="s">
        <v>30</v>
      </c>
      <c r="P406">
        <v>84</v>
      </c>
      <c r="Q406" t="str">
        <f t="shared" si="6"/>
        <v>Low</v>
      </c>
    </row>
    <row r="407" spans="1:17" x14ac:dyDescent="0.3">
      <c r="A407" t="s">
        <v>1228</v>
      </c>
      <c r="B407" t="s">
        <v>1229</v>
      </c>
      <c r="C407" t="s">
        <v>54</v>
      </c>
      <c r="D407" t="s">
        <v>49</v>
      </c>
      <c r="E407" t="s">
        <v>27</v>
      </c>
      <c r="F407" t="s">
        <v>1230</v>
      </c>
      <c r="G407" t="str">
        <f>TEXT(Table1_1[[#This Row],[Joining_Date]],"mmm")</f>
        <v>Mar</v>
      </c>
      <c r="H407" t="str">
        <f>TEXT(Table1_1[[#This Row],[Joining_Date]],"yyyy")</f>
        <v>2020</v>
      </c>
      <c r="I407" s="1">
        <v>45209</v>
      </c>
      <c r="J407" t="s">
        <v>18</v>
      </c>
      <c r="K407">
        <f>IF(Table1_1[[#This Row],[Status]]="Exited",1,0)</f>
        <v>1</v>
      </c>
      <c r="L407">
        <f>IF(Table1_1[[#This Row],[Status]]="Exited",0,1)</f>
        <v>0</v>
      </c>
      <c r="M407">
        <v>728558</v>
      </c>
      <c r="N407">
        <v>5</v>
      </c>
      <c r="O407" t="s">
        <v>42</v>
      </c>
      <c r="P407">
        <v>87.4</v>
      </c>
      <c r="Q407" t="str">
        <f t="shared" si="6"/>
        <v>High</v>
      </c>
    </row>
    <row r="408" spans="1:17" x14ac:dyDescent="0.3">
      <c r="A408" t="s">
        <v>1231</v>
      </c>
      <c r="B408" t="s">
        <v>1232</v>
      </c>
      <c r="C408" t="s">
        <v>54</v>
      </c>
      <c r="D408" t="s">
        <v>33</v>
      </c>
      <c r="E408" t="s">
        <v>50</v>
      </c>
      <c r="F408" t="s">
        <v>1233</v>
      </c>
      <c r="G408" t="str">
        <f>TEXT(Table1_1[[#This Row],[Joining_Date]],"mmm")</f>
        <v>Oct</v>
      </c>
      <c r="H408" t="str">
        <f>TEXT(Table1_1[[#This Row],[Joining_Date]],"yyyy")</f>
        <v>2024</v>
      </c>
      <c r="I408" s="1">
        <v>45969</v>
      </c>
      <c r="J408" t="s">
        <v>18</v>
      </c>
      <c r="K408">
        <f>IF(Table1_1[[#This Row],[Status]]="Exited",1,0)</f>
        <v>1</v>
      </c>
      <c r="L408">
        <f>IF(Table1_1[[#This Row],[Status]]="Exited",0,1)</f>
        <v>0</v>
      </c>
      <c r="M408">
        <v>863051</v>
      </c>
      <c r="N408">
        <v>4.9000000000000004</v>
      </c>
      <c r="O408" t="s">
        <v>24</v>
      </c>
      <c r="P408">
        <v>75.3</v>
      </c>
      <c r="Q408" t="str">
        <f t="shared" si="6"/>
        <v>High</v>
      </c>
    </row>
    <row r="409" spans="1:17" x14ac:dyDescent="0.3">
      <c r="A409" t="s">
        <v>1234</v>
      </c>
      <c r="B409" t="s">
        <v>1235</v>
      </c>
      <c r="C409" t="s">
        <v>61</v>
      </c>
      <c r="D409" t="s">
        <v>49</v>
      </c>
      <c r="E409" t="s">
        <v>27</v>
      </c>
      <c r="F409" t="s">
        <v>1236</v>
      </c>
      <c r="G409" t="str">
        <f>TEXT(Table1_1[[#This Row],[Joining_Date]],"mmm")</f>
        <v>Aug</v>
      </c>
      <c r="H409" t="str">
        <f>TEXT(Table1_1[[#This Row],[Joining_Date]],"yyyy")</f>
        <v>2019</v>
      </c>
      <c r="I409" s="1"/>
      <c r="J409" t="s">
        <v>29</v>
      </c>
      <c r="K409">
        <f>IF(Table1_1[[#This Row],[Status]]="Exited",1,0)</f>
        <v>0</v>
      </c>
      <c r="L409">
        <f>IF(Table1_1[[#This Row],[Status]]="Exited",0,1)</f>
        <v>1</v>
      </c>
      <c r="M409">
        <v>395817</v>
      </c>
      <c r="N409">
        <v>3.8</v>
      </c>
      <c r="O409" t="s">
        <v>30</v>
      </c>
      <c r="P409">
        <v>77</v>
      </c>
      <c r="Q409" t="str">
        <f t="shared" si="6"/>
        <v>Low</v>
      </c>
    </row>
    <row r="410" spans="1:17" x14ac:dyDescent="0.3">
      <c r="A410" t="s">
        <v>1237</v>
      </c>
      <c r="B410" t="s">
        <v>1238</v>
      </c>
      <c r="C410" t="s">
        <v>22</v>
      </c>
      <c r="D410" t="s">
        <v>33</v>
      </c>
      <c r="E410" t="s">
        <v>27</v>
      </c>
      <c r="F410" t="s">
        <v>1239</v>
      </c>
      <c r="G410" t="str">
        <f>TEXT(Table1_1[[#This Row],[Joining_Date]],"mmm")</f>
        <v>Feb</v>
      </c>
      <c r="H410" t="str">
        <f>TEXT(Table1_1[[#This Row],[Joining_Date]],"yyyy")</f>
        <v>2018</v>
      </c>
      <c r="I410" s="1">
        <v>43239</v>
      </c>
      <c r="J410" t="s">
        <v>18</v>
      </c>
      <c r="K410">
        <f>IF(Table1_1[[#This Row],[Status]]="Exited",1,0)</f>
        <v>1</v>
      </c>
      <c r="L410">
        <f>IF(Table1_1[[#This Row],[Status]]="Exited",0,1)</f>
        <v>0</v>
      </c>
      <c r="M410">
        <v>922938</v>
      </c>
      <c r="N410">
        <v>5</v>
      </c>
      <c r="O410" t="s">
        <v>19</v>
      </c>
      <c r="P410">
        <v>84.9</v>
      </c>
      <c r="Q410" t="str">
        <f t="shared" si="6"/>
        <v>High</v>
      </c>
    </row>
    <row r="411" spans="1:17" x14ac:dyDescent="0.3">
      <c r="A411" t="s">
        <v>1240</v>
      </c>
      <c r="B411" t="s">
        <v>1241</v>
      </c>
      <c r="C411" t="s">
        <v>54</v>
      </c>
      <c r="D411" t="s">
        <v>15</v>
      </c>
      <c r="E411" t="s">
        <v>16</v>
      </c>
      <c r="F411" t="s">
        <v>1242</v>
      </c>
      <c r="G411" t="str">
        <f>TEXT(Table1_1[[#This Row],[Joining_Date]],"mmm")</f>
        <v>Nov</v>
      </c>
      <c r="H411" t="str">
        <f>TEXT(Table1_1[[#This Row],[Joining_Date]],"yyyy")</f>
        <v>2021</v>
      </c>
      <c r="I411" s="1">
        <v>45511</v>
      </c>
      <c r="J411" t="s">
        <v>18</v>
      </c>
      <c r="K411">
        <f>IF(Table1_1[[#This Row],[Status]]="Exited",1,0)</f>
        <v>1</v>
      </c>
      <c r="L411">
        <f>IF(Table1_1[[#This Row],[Status]]="Exited",0,1)</f>
        <v>0</v>
      </c>
      <c r="M411">
        <v>307406</v>
      </c>
      <c r="N411">
        <v>2.2999999999999998</v>
      </c>
      <c r="O411" t="s">
        <v>42</v>
      </c>
      <c r="P411">
        <v>77.8</v>
      </c>
      <c r="Q411" t="str">
        <f t="shared" si="6"/>
        <v>Low</v>
      </c>
    </row>
    <row r="412" spans="1:17" x14ac:dyDescent="0.3">
      <c r="A412" t="s">
        <v>1243</v>
      </c>
      <c r="B412" t="s">
        <v>1244</v>
      </c>
      <c r="C412" t="s">
        <v>37</v>
      </c>
      <c r="D412" t="s">
        <v>49</v>
      </c>
      <c r="E412" t="s">
        <v>50</v>
      </c>
      <c r="F412" t="s">
        <v>1245</v>
      </c>
      <c r="G412" t="str">
        <f>TEXT(Table1_1[[#This Row],[Joining_Date]],"mmm")</f>
        <v>May</v>
      </c>
      <c r="H412" t="str">
        <f>TEXT(Table1_1[[#This Row],[Joining_Date]],"yyyy")</f>
        <v>2024</v>
      </c>
      <c r="I412" s="1"/>
      <c r="J412" t="s">
        <v>29</v>
      </c>
      <c r="K412">
        <f>IF(Table1_1[[#This Row],[Status]]="Exited",1,0)</f>
        <v>0</v>
      </c>
      <c r="L412">
        <f>IF(Table1_1[[#This Row],[Status]]="Exited",0,1)</f>
        <v>1</v>
      </c>
      <c r="M412">
        <v>685559</v>
      </c>
      <c r="N412">
        <v>3.3</v>
      </c>
      <c r="O412" t="s">
        <v>30</v>
      </c>
      <c r="P412">
        <v>86.6</v>
      </c>
      <c r="Q412" t="str">
        <f t="shared" si="6"/>
        <v>Low</v>
      </c>
    </row>
    <row r="413" spans="1:17" x14ac:dyDescent="0.3">
      <c r="A413" t="s">
        <v>1246</v>
      </c>
      <c r="B413" t="s">
        <v>1247</v>
      </c>
      <c r="C413" t="s">
        <v>37</v>
      </c>
      <c r="D413" t="s">
        <v>33</v>
      </c>
      <c r="E413" t="s">
        <v>45</v>
      </c>
      <c r="F413" t="s">
        <v>1248</v>
      </c>
      <c r="G413" t="str">
        <f>TEXT(Table1_1[[#This Row],[Joining_Date]],"mmm")</f>
        <v>Apr</v>
      </c>
      <c r="H413" t="str">
        <f>TEXT(Table1_1[[#This Row],[Joining_Date]],"yyyy")</f>
        <v>2023</v>
      </c>
      <c r="I413" s="1"/>
      <c r="J413" t="s">
        <v>29</v>
      </c>
      <c r="K413">
        <f>IF(Table1_1[[#This Row],[Status]]="Exited",1,0)</f>
        <v>0</v>
      </c>
      <c r="L413">
        <f>IF(Table1_1[[#This Row],[Status]]="Exited",0,1)</f>
        <v>1</v>
      </c>
      <c r="M413">
        <v>201503</v>
      </c>
      <c r="N413">
        <v>4.5999999999999996</v>
      </c>
      <c r="O413" t="s">
        <v>30</v>
      </c>
      <c r="P413">
        <v>85.6</v>
      </c>
      <c r="Q413" t="str">
        <f t="shared" si="6"/>
        <v>High</v>
      </c>
    </row>
    <row r="414" spans="1:17" x14ac:dyDescent="0.3">
      <c r="A414" t="s">
        <v>1249</v>
      </c>
      <c r="B414" t="s">
        <v>1250</v>
      </c>
      <c r="C414" t="s">
        <v>37</v>
      </c>
      <c r="D414" t="s">
        <v>15</v>
      </c>
      <c r="E414" t="s">
        <v>45</v>
      </c>
      <c r="F414" t="s">
        <v>1251</v>
      </c>
      <c r="G414" t="str">
        <f>TEXT(Table1_1[[#This Row],[Joining_Date]],"mmm")</f>
        <v>Sep</v>
      </c>
      <c r="H414" t="str">
        <f>TEXT(Table1_1[[#This Row],[Joining_Date]],"yyyy")</f>
        <v>2022</v>
      </c>
      <c r="I414" s="1"/>
      <c r="J414" t="s">
        <v>29</v>
      </c>
      <c r="K414">
        <f>IF(Table1_1[[#This Row],[Status]]="Exited",1,0)</f>
        <v>0</v>
      </c>
      <c r="L414">
        <f>IF(Table1_1[[#This Row],[Status]]="Exited",0,1)</f>
        <v>1</v>
      </c>
      <c r="M414">
        <v>424942</v>
      </c>
      <c r="N414">
        <v>2.7</v>
      </c>
      <c r="O414" t="s">
        <v>19</v>
      </c>
      <c r="P414">
        <v>99</v>
      </c>
      <c r="Q414" t="str">
        <f t="shared" si="6"/>
        <v>Low</v>
      </c>
    </row>
    <row r="415" spans="1:17" x14ac:dyDescent="0.3">
      <c r="A415" t="s">
        <v>1252</v>
      </c>
      <c r="B415" t="s">
        <v>1253</v>
      </c>
      <c r="C415" t="s">
        <v>14</v>
      </c>
      <c r="D415" t="s">
        <v>33</v>
      </c>
      <c r="E415" t="s">
        <v>45</v>
      </c>
      <c r="F415" t="s">
        <v>1254</v>
      </c>
      <c r="G415" t="str">
        <f>TEXT(Table1_1[[#This Row],[Joining_Date]],"mmm")</f>
        <v>Oct</v>
      </c>
      <c r="H415" t="str">
        <f>TEXT(Table1_1[[#This Row],[Joining_Date]],"yyyy")</f>
        <v>2024</v>
      </c>
      <c r="I415" s="1"/>
      <c r="J415" t="s">
        <v>29</v>
      </c>
      <c r="K415">
        <f>IF(Table1_1[[#This Row],[Status]]="Exited",1,0)</f>
        <v>0</v>
      </c>
      <c r="L415">
        <f>IF(Table1_1[[#This Row],[Status]]="Exited",0,1)</f>
        <v>1</v>
      </c>
      <c r="M415">
        <v>1143503</v>
      </c>
      <c r="N415">
        <v>4.5999999999999996</v>
      </c>
      <c r="O415" t="s">
        <v>24</v>
      </c>
      <c r="P415">
        <v>83.6</v>
      </c>
      <c r="Q415" t="str">
        <f t="shared" si="6"/>
        <v>High</v>
      </c>
    </row>
    <row r="416" spans="1:17" x14ac:dyDescent="0.3">
      <c r="A416" t="s">
        <v>1255</v>
      </c>
      <c r="B416" t="s">
        <v>1256</v>
      </c>
      <c r="C416" t="s">
        <v>22</v>
      </c>
      <c r="D416" t="s">
        <v>33</v>
      </c>
      <c r="E416" t="s">
        <v>50</v>
      </c>
      <c r="F416" t="s">
        <v>1257</v>
      </c>
      <c r="G416" t="str">
        <f>TEXT(Table1_1[[#This Row],[Joining_Date]],"mmm")</f>
        <v>Sep</v>
      </c>
      <c r="H416" t="str">
        <f>TEXT(Table1_1[[#This Row],[Joining_Date]],"yyyy")</f>
        <v>2018</v>
      </c>
      <c r="I416" s="1">
        <v>44017</v>
      </c>
      <c r="J416" t="s">
        <v>18</v>
      </c>
      <c r="K416">
        <f>IF(Table1_1[[#This Row],[Status]]="Exited",1,0)</f>
        <v>1</v>
      </c>
      <c r="L416">
        <f>IF(Table1_1[[#This Row],[Status]]="Exited",0,1)</f>
        <v>0</v>
      </c>
      <c r="M416">
        <v>345780</v>
      </c>
      <c r="N416">
        <v>4.7</v>
      </c>
      <c r="O416" t="s">
        <v>30</v>
      </c>
      <c r="P416">
        <v>96.5</v>
      </c>
      <c r="Q416" t="str">
        <f t="shared" si="6"/>
        <v>High</v>
      </c>
    </row>
    <row r="417" spans="1:17" x14ac:dyDescent="0.3">
      <c r="A417" t="s">
        <v>1258</v>
      </c>
      <c r="B417" t="s">
        <v>1259</v>
      </c>
      <c r="C417" t="s">
        <v>14</v>
      </c>
      <c r="D417" t="s">
        <v>15</v>
      </c>
      <c r="E417" t="s">
        <v>16</v>
      </c>
      <c r="F417" t="s">
        <v>1260</v>
      </c>
      <c r="G417" t="str">
        <f>TEXT(Table1_1[[#This Row],[Joining_Date]],"mmm")</f>
        <v>Jul</v>
      </c>
      <c r="H417" t="str">
        <f>TEXT(Table1_1[[#This Row],[Joining_Date]],"yyyy")</f>
        <v>2020</v>
      </c>
      <c r="I417" s="1">
        <v>44404</v>
      </c>
      <c r="J417" t="s">
        <v>18</v>
      </c>
      <c r="K417">
        <f>IF(Table1_1[[#This Row],[Status]]="Exited",1,0)</f>
        <v>1</v>
      </c>
      <c r="L417">
        <f>IF(Table1_1[[#This Row],[Status]]="Exited",0,1)</f>
        <v>0</v>
      </c>
      <c r="M417">
        <v>606197</v>
      </c>
      <c r="N417">
        <v>4.5</v>
      </c>
      <c r="O417" t="s">
        <v>42</v>
      </c>
      <c r="P417">
        <v>89.8</v>
      </c>
      <c r="Q417" t="str">
        <f t="shared" si="6"/>
        <v>High</v>
      </c>
    </row>
    <row r="418" spans="1:17" x14ac:dyDescent="0.3">
      <c r="A418" t="s">
        <v>1261</v>
      </c>
      <c r="B418" t="s">
        <v>1262</v>
      </c>
      <c r="C418" t="s">
        <v>22</v>
      </c>
      <c r="D418" t="s">
        <v>10</v>
      </c>
      <c r="E418" t="s">
        <v>27</v>
      </c>
      <c r="F418" t="s">
        <v>1263</v>
      </c>
      <c r="G418" t="str">
        <f>TEXT(Table1_1[[#This Row],[Joining_Date]],"mmm")</f>
        <v>Jan</v>
      </c>
      <c r="H418" t="str">
        <f>TEXT(Table1_1[[#This Row],[Joining_Date]],"yyyy")</f>
        <v>2018</v>
      </c>
      <c r="I418" s="1"/>
      <c r="J418" t="s">
        <v>29</v>
      </c>
      <c r="K418">
        <f>IF(Table1_1[[#This Row],[Status]]="Exited",1,0)</f>
        <v>0</v>
      </c>
      <c r="L418">
        <f>IF(Table1_1[[#This Row],[Status]]="Exited",0,1)</f>
        <v>1</v>
      </c>
      <c r="M418">
        <v>303974</v>
      </c>
      <c r="N418">
        <v>2.4</v>
      </c>
      <c r="O418" t="s">
        <v>42</v>
      </c>
      <c r="P418">
        <v>98.8</v>
      </c>
      <c r="Q418" t="str">
        <f t="shared" si="6"/>
        <v>Low</v>
      </c>
    </row>
    <row r="419" spans="1:17" x14ac:dyDescent="0.3">
      <c r="A419" t="s">
        <v>1264</v>
      </c>
      <c r="B419" t="s">
        <v>1265</v>
      </c>
      <c r="C419" t="s">
        <v>22</v>
      </c>
      <c r="D419" t="s">
        <v>33</v>
      </c>
      <c r="E419" t="s">
        <v>27</v>
      </c>
      <c r="F419" t="s">
        <v>1266</v>
      </c>
      <c r="G419" t="str">
        <f>TEXT(Table1_1[[#This Row],[Joining_Date]],"mmm")</f>
        <v>Apr</v>
      </c>
      <c r="H419" t="str">
        <f>TEXT(Table1_1[[#This Row],[Joining_Date]],"yyyy")</f>
        <v>2022</v>
      </c>
      <c r="I419" s="1"/>
      <c r="J419" t="s">
        <v>29</v>
      </c>
      <c r="K419">
        <f>IF(Table1_1[[#This Row],[Status]]="Exited",1,0)</f>
        <v>0</v>
      </c>
      <c r="L419">
        <f>IF(Table1_1[[#This Row],[Status]]="Exited",0,1)</f>
        <v>1</v>
      </c>
      <c r="M419">
        <v>938484</v>
      </c>
      <c r="N419">
        <v>3.4</v>
      </c>
      <c r="O419" t="s">
        <v>42</v>
      </c>
      <c r="P419">
        <v>79.900000000000006</v>
      </c>
      <c r="Q419" t="str">
        <f t="shared" si="6"/>
        <v>Low</v>
      </c>
    </row>
    <row r="420" spans="1:17" x14ac:dyDescent="0.3">
      <c r="A420" t="s">
        <v>1267</v>
      </c>
      <c r="B420" t="s">
        <v>1268</v>
      </c>
      <c r="C420" t="s">
        <v>14</v>
      </c>
      <c r="D420" t="s">
        <v>33</v>
      </c>
      <c r="E420" t="s">
        <v>50</v>
      </c>
      <c r="F420" t="s">
        <v>790</v>
      </c>
      <c r="G420" t="str">
        <f>TEXT(Table1_1[[#This Row],[Joining_Date]],"mmm")</f>
        <v>Sep</v>
      </c>
      <c r="H420" t="str">
        <f>TEXT(Table1_1[[#This Row],[Joining_Date]],"yyyy")</f>
        <v>2023</v>
      </c>
      <c r="I420" s="1">
        <v>46587</v>
      </c>
      <c r="J420" t="s">
        <v>18</v>
      </c>
      <c r="K420">
        <f>IF(Table1_1[[#This Row],[Status]]="Exited",1,0)</f>
        <v>1</v>
      </c>
      <c r="L420">
        <f>IF(Table1_1[[#This Row],[Status]]="Exited",0,1)</f>
        <v>0</v>
      </c>
      <c r="M420">
        <v>1063408</v>
      </c>
      <c r="N420">
        <v>2.1</v>
      </c>
      <c r="O420" t="s">
        <v>42</v>
      </c>
      <c r="P420">
        <v>90.9</v>
      </c>
      <c r="Q420" t="str">
        <f t="shared" si="6"/>
        <v>Low</v>
      </c>
    </row>
    <row r="421" spans="1:17" x14ac:dyDescent="0.3">
      <c r="A421" t="s">
        <v>1269</v>
      </c>
      <c r="B421" t="s">
        <v>1270</v>
      </c>
      <c r="C421" t="s">
        <v>61</v>
      </c>
      <c r="D421" t="s">
        <v>15</v>
      </c>
      <c r="E421" t="s">
        <v>45</v>
      </c>
      <c r="F421" t="s">
        <v>1271</v>
      </c>
      <c r="G421" t="str">
        <f>TEXT(Table1_1[[#This Row],[Joining_Date]],"mmm")</f>
        <v>Jun</v>
      </c>
      <c r="H421" t="str">
        <f>TEXT(Table1_1[[#This Row],[Joining_Date]],"yyyy")</f>
        <v>2020</v>
      </c>
      <c r="I421" s="1">
        <v>44094</v>
      </c>
      <c r="J421" t="s">
        <v>18</v>
      </c>
      <c r="K421">
        <f>IF(Table1_1[[#This Row],[Status]]="Exited",1,0)</f>
        <v>1</v>
      </c>
      <c r="L421">
        <f>IF(Table1_1[[#This Row],[Status]]="Exited",0,1)</f>
        <v>0</v>
      </c>
      <c r="M421">
        <v>1112896</v>
      </c>
      <c r="N421">
        <v>4.8</v>
      </c>
      <c r="O421" t="s">
        <v>24</v>
      </c>
      <c r="P421">
        <v>98.6</v>
      </c>
      <c r="Q421" t="str">
        <f t="shared" si="6"/>
        <v>High</v>
      </c>
    </row>
    <row r="422" spans="1:17" x14ac:dyDescent="0.3">
      <c r="A422" t="s">
        <v>1272</v>
      </c>
      <c r="B422" t="s">
        <v>1273</v>
      </c>
      <c r="C422" t="s">
        <v>22</v>
      </c>
      <c r="D422" t="s">
        <v>33</v>
      </c>
      <c r="E422" t="s">
        <v>16</v>
      </c>
      <c r="F422" t="s">
        <v>1274</v>
      </c>
      <c r="G422" t="str">
        <f>TEXT(Table1_1[[#This Row],[Joining_Date]],"mmm")</f>
        <v>Aug</v>
      </c>
      <c r="H422" t="str">
        <f>TEXT(Table1_1[[#This Row],[Joining_Date]],"yyyy")</f>
        <v>2023</v>
      </c>
      <c r="I422" s="1">
        <v>46040</v>
      </c>
      <c r="J422" t="s">
        <v>18</v>
      </c>
      <c r="K422">
        <f>IF(Table1_1[[#This Row],[Status]]="Exited",1,0)</f>
        <v>1</v>
      </c>
      <c r="L422">
        <f>IF(Table1_1[[#This Row],[Status]]="Exited",0,1)</f>
        <v>0</v>
      </c>
      <c r="M422">
        <v>720747</v>
      </c>
      <c r="N422">
        <v>2.8</v>
      </c>
      <c r="O422" t="s">
        <v>24</v>
      </c>
      <c r="P422">
        <v>83</v>
      </c>
      <c r="Q422" t="str">
        <f t="shared" si="6"/>
        <v>Low</v>
      </c>
    </row>
    <row r="423" spans="1:17" x14ac:dyDescent="0.3">
      <c r="A423" t="s">
        <v>1275</v>
      </c>
      <c r="B423" t="s">
        <v>1276</v>
      </c>
      <c r="C423" t="s">
        <v>61</v>
      </c>
      <c r="D423" t="s">
        <v>49</v>
      </c>
      <c r="E423" t="s">
        <v>16</v>
      </c>
      <c r="F423" t="s">
        <v>1082</v>
      </c>
      <c r="G423" t="str">
        <f>TEXT(Table1_1[[#This Row],[Joining_Date]],"mmm")</f>
        <v>Apr</v>
      </c>
      <c r="H423" t="str">
        <f>TEXT(Table1_1[[#This Row],[Joining_Date]],"yyyy")</f>
        <v>2023</v>
      </c>
      <c r="I423" s="1"/>
      <c r="J423" t="s">
        <v>29</v>
      </c>
      <c r="K423">
        <f>IF(Table1_1[[#This Row],[Status]]="Exited",1,0)</f>
        <v>0</v>
      </c>
      <c r="L423">
        <f>IF(Table1_1[[#This Row],[Status]]="Exited",0,1)</f>
        <v>1</v>
      </c>
      <c r="M423">
        <v>542843</v>
      </c>
      <c r="N423">
        <v>2.2999999999999998</v>
      </c>
      <c r="O423" t="s">
        <v>19</v>
      </c>
      <c r="P423">
        <v>85.6</v>
      </c>
      <c r="Q423" t="str">
        <f t="shared" si="6"/>
        <v>Low</v>
      </c>
    </row>
    <row r="424" spans="1:17" x14ac:dyDescent="0.3">
      <c r="A424" t="s">
        <v>1277</v>
      </c>
      <c r="B424" t="s">
        <v>1278</v>
      </c>
      <c r="C424" t="s">
        <v>54</v>
      </c>
      <c r="D424" t="s">
        <v>33</v>
      </c>
      <c r="E424" t="s">
        <v>27</v>
      </c>
      <c r="F424" t="s">
        <v>1279</v>
      </c>
      <c r="G424" t="str">
        <f>TEXT(Table1_1[[#This Row],[Joining_Date]],"mmm")</f>
        <v>Jul</v>
      </c>
      <c r="H424" t="str">
        <f>TEXT(Table1_1[[#This Row],[Joining_Date]],"yyyy")</f>
        <v>2022</v>
      </c>
      <c r="I424" s="1">
        <v>45600</v>
      </c>
      <c r="J424" t="s">
        <v>18</v>
      </c>
      <c r="K424">
        <f>IF(Table1_1[[#This Row],[Status]]="Exited",1,0)</f>
        <v>1</v>
      </c>
      <c r="L424">
        <f>IF(Table1_1[[#This Row],[Status]]="Exited",0,1)</f>
        <v>0</v>
      </c>
      <c r="M424">
        <v>952059</v>
      </c>
      <c r="N424">
        <v>3.4</v>
      </c>
      <c r="O424" t="s">
        <v>19</v>
      </c>
      <c r="P424">
        <v>97</v>
      </c>
      <c r="Q424" t="str">
        <f t="shared" si="6"/>
        <v>Low</v>
      </c>
    </row>
    <row r="425" spans="1:17" x14ac:dyDescent="0.3">
      <c r="A425" t="s">
        <v>1280</v>
      </c>
      <c r="B425" t="s">
        <v>1281</v>
      </c>
      <c r="C425" t="s">
        <v>54</v>
      </c>
      <c r="D425" t="s">
        <v>15</v>
      </c>
      <c r="E425" t="s">
        <v>16</v>
      </c>
      <c r="F425" t="s">
        <v>1282</v>
      </c>
      <c r="G425" t="str">
        <f>TEXT(Table1_1[[#This Row],[Joining_Date]],"mmm")</f>
        <v>Sep</v>
      </c>
      <c r="H425" t="str">
        <f>TEXT(Table1_1[[#This Row],[Joining_Date]],"yyyy")</f>
        <v>2018</v>
      </c>
      <c r="I425" s="1">
        <v>44852</v>
      </c>
      <c r="J425" t="s">
        <v>18</v>
      </c>
      <c r="K425">
        <f>IF(Table1_1[[#This Row],[Status]]="Exited",1,0)</f>
        <v>1</v>
      </c>
      <c r="L425">
        <f>IF(Table1_1[[#This Row],[Status]]="Exited",0,1)</f>
        <v>0</v>
      </c>
      <c r="M425">
        <v>1172777</v>
      </c>
      <c r="N425">
        <v>3.7</v>
      </c>
      <c r="O425" t="s">
        <v>24</v>
      </c>
      <c r="P425">
        <v>89.5</v>
      </c>
      <c r="Q425" t="str">
        <f t="shared" si="6"/>
        <v>Low</v>
      </c>
    </row>
    <row r="426" spans="1:17" x14ac:dyDescent="0.3">
      <c r="A426" t="s">
        <v>1283</v>
      </c>
      <c r="B426" t="s">
        <v>1284</v>
      </c>
      <c r="C426" t="s">
        <v>22</v>
      </c>
      <c r="D426" t="s">
        <v>10</v>
      </c>
      <c r="E426" t="s">
        <v>16</v>
      </c>
      <c r="F426" t="s">
        <v>1285</v>
      </c>
      <c r="G426" t="str">
        <f>TEXT(Table1_1[[#This Row],[Joining_Date]],"mmm")</f>
        <v>Apr</v>
      </c>
      <c r="H426" t="str">
        <f>TEXT(Table1_1[[#This Row],[Joining_Date]],"yyyy")</f>
        <v>2018</v>
      </c>
      <c r="I426" s="1"/>
      <c r="J426" t="s">
        <v>29</v>
      </c>
      <c r="K426">
        <f>IF(Table1_1[[#This Row],[Status]]="Exited",1,0)</f>
        <v>0</v>
      </c>
      <c r="L426">
        <f>IF(Table1_1[[#This Row],[Status]]="Exited",0,1)</f>
        <v>1</v>
      </c>
      <c r="M426">
        <v>1084199</v>
      </c>
      <c r="N426">
        <v>2.9</v>
      </c>
      <c r="O426" t="s">
        <v>24</v>
      </c>
      <c r="P426">
        <v>100</v>
      </c>
      <c r="Q426" t="str">
        <f t="shared" si="6"/>
        <v>Low</v>
      </c>
    </row>
    <row r="427" spans="1:17" x14ac:dyDescent="0.3">
      <c r="A427" t="s">
        <v>1286</v>
      </c>
      <c r="B427" t="s">
        <v>1287</v>
      </c>
      <c r="C427" t="s">
        <v>54</v>
      </c>
      <c r="D427" t="s">
        <v>33</v>
      </c>
      <c r="E427" t="s">
        <v>16</v>
      </c>
      <c r="F427" t="s">
        <v>1288</v>
      </c>
      <c r="G427" t="str">
        <f>TEXT(Table1_1[[#This Row],[Joining_Date]],"mmm")</f>
        <v>Nov</v>
      </c>
      <c r="H427" t="str">
        <f>TEXT(Table1_1[[#This Row],[Joining_Date]],"yyyy")</f>
        <v>2023</v>
      </c>
      <c r="I427" s="1">
        <v>46364</v>
      </c>
      <c r="J427" t="s">
        <v>18</v>
      </c>
      <c r="K427">
        <f>IF(Table1_1[[#This Row],[Status]]="Exited",1,0)</f>
        <v>1</v>
      </c>
      <c r="L427">
        <f>IF(Table1_1[[#This Row],[Status]]="Exited",0,1)</f>
        <v>0</v>
      </c>
      <c r="M427">
        <v>784295</v>
      </c>
      <c r="N427">
        <v>2.8</v>
      </c>
      <c r="O427" t="s">
        <v>19</v>
      </c>
      <c r="P427">
        <v>94.6</v>
      </c>
      <c r="Q427" t="str">
        <f t="shared" si="6"/>
        <v>Low</v>
      </c>
    </row>
    <row r="428" spans="1:17" x14ac:dyDescent="0.3">
      <c r="A428" t="s">
        <v>1289</v>
      </c>
      <c r="B428" t="s">
        <v>1290</v>
      </c>
      <c r="C428" t="s">
        <v>61</v>
      </c>
      <c r="D428" t="s">
        <v>15</v>
      </c>
      <c r="E428" t="s">
        <v>16</v>
      </c>
      <c r="F428" t="s">
        <v>1291</v>
      </c>
      <c r="G428" t="str">
        <f>TEXT(Table1_1[[#This Row],[Joining_Date]],"mmm")</f>
        <v>Oct</v>
      </c>
      <c r="H428" t="str">
        <f>TEXT(Table1_1[[#This Row],[Joining_Date]],"yyyy")</f>
        <v>2023</v>
      </c>
      <c r="I428" s="1"/>
      <c r="J428" t="s">
        <v>29</v>
      </c>
      <c r="K428">
        <f>IF(Table1_1[[#This Row],[Status]]="Exited",1,0)</f>
        <v>0</v>
      </c>
      <c r="L428">
        <f>IF(Table1_1[[#This Row],[Status]]="Exited",0,1)</f>
        <v>1</v>
      </c>
      <c r="M428">
        <v>838638</v>
      </c>
      <c r="N428">
        <v>3.2</v>
      </c>
      <c r="O428" t="s">
        <v>24</v>
      </c>
      <c r="P428">
        <v>91.6</v>
      </c>
      <c r="Q428" t="str">
        <f t="shared" si="6"/>
        <v>Low</v>
      </c>
    </row>
    <row r="429" spans="1:17" x14ac:dyDescent="0.3">
      <c r="A429" t="s">
        <v>1292</v>
      </c>
      <c r="B429" t="s">
        <v>1293</v>
      </c>
      <c r="C429" t="s">
        <v>54</v>
      </c>
      <c r="D429" t="s">
        <v>15</v>
      </c>
      <c r="E429" t="s">
        <v>27</v>
      </c>
      <c r="F429" t="s">
        <v>1294</v>
      </c>
      <c r="G429" t="str">
        <f>TEXT(Table1_1[[#This Row],[Joining_Date]],"mmm")</f>
        <v>Oct</v>
      </c>
      <c r="H429" t="str">
        <f>TEXT(Table1_1[[#This Row],[Joining_Date]],"yyyy")</f>
        <v>2020</v>
      </c>
      <c r="I429" s="1">
        <v>45397</v>
      </c>
      <c r="J429" t="s">
        <v>18</v>
      </c>
      <c r="K429">
        <f>IF(Table1_1[[#This Row],[Status]]="Exited",1,0)</f>
        <v>1</v>
      </c>
      <c r="L429">
        <f>IF(Table1_1[[#This Row],[Status]]="Exited",0,1)</f>
        <v>0</v>
      </c>
      <c r="M429">
        <v>654320</v>
      </c>
      <c r="N429">
        <v>3.2</v>
      </c>
      <c r="O429" t="s">
        <v>30</v>
      </c>
      <c r="P429">
        <v>75.3</v>
      </c>
      <c r="Q429" t="str">
        <f t="shared" si="6"/>
        <v>Low</v>
      </c>
    </row>
    <row r="430" spans="1:17" x14ac:dyDescent="0.3">
      <c r="A430" t="s">
        <v>1295</v>
      </c>
      <c r="B430" t="s">
        <v>1296</v>
      </c>
      <c r="C430" t="s">
        <v>37</v>
      </c>
      <c r="D430" t="s">
        <v>15</v>
      </c>
      <c r="E430" t="s">
        <v>16</v>
      </c>
      <c r="F430" t="s">
        <v>393</v>
      </c>
      <c r="G430" t="str">
        <f>TEXT(Table1_1[[#This Row],[Joining_Date]],"mmm")</f>
        <v>Jun</v>
      </c>
      <c r="H430" t="str">
        <f>TEXT(Table1_1[[#This Row],[Joining_Date]],"yyyy")</f>
        <v>2018</v>
      </c>
      <c r="I430" s="1">
        <v>43556</v>
      </c>
      <c r="J430" t="s">
        <v>18</v>
      </c>
      <c r="K430">
        <f>IF(Table1_1[[#This Row],[Status]]="Exited",1,0)</f>
        <v>1</v>
      </c>
      <c r="L430">
        <f>IF(Table1_1[[#This Row],[Status]]="Exited",0,1)</f>
        <v>0</v>
      </c>
      <c r="M430">
        <v>314672</v>
      </c>
      <c r="N430">
        <v>4.7</v>
      </c>
      <c r="O430" t="s">
        <v>24</v>
      </c>
      <c r="P430">
        <v>88.3</v>
      </c>
      <c r="Q430" t="str">
        <f t="shared" si="6"/>
        <v>High</v>
      </c>
    </row>
    <row r="431" spans="1:17" x14ac:dyDescent="0.3">
      <c r="A431" t="s">
        <v>1297</v>
      </c>
      <c r="B431" t="s">
        <v>1298</v>
      </c>
      <c r="C431" t="s">
        <v>22</v>
      </c>
      <c r="D431" t="s">
        <v>49</v>
      </c>
      <c r="E431" t="s">
        <v>16</v>
      </c>
      <c r="F431" t="s">
        <v>560</v>
      </c>
      <c r="G431" t="str">
        <f>TEXT(Table1_1[[#This Row],[Joining_Date]],"mmm")</f>
        <v>Sep</v>
      </c>
      <c r="H431" t="str">
        <f>TEXT(Table1_1[[#This Row],[Joining_Date]],"yyyy")</f>
        <v>2023</v>
      </c>
      <c r="I431" s="1">
        <v>45397</v>
      </c>
      <c r="J431" t="s">
        <v>18</v>
      </c>
      <c r="K431">
        <f>IF(Table1_1[[#This Row],[Status]]="Exited",1,0)</f>
        <v>1</v>
      </c>
      <c r="L431">
        <f>IF(Table1_1[[#This Row],[Status]]="Exited",0,1)</f>
        <v>0</v>
      </c>
      <c r="M431">
        <v>967072</v>
      </c>
      <c r="N431">
        <v>4.3</v>
      </c>
      <c r="O431" t="s">
        <v>42</v>
      </c>
      <c r="P431">
        <v>88.3</v>
      </c>
      <c r="Q431" t="str">
        <f t="shared" si="6"/>
        <v>High</v>
      </c>
    </row>
    <row r="432" spans="1:17" x14ac:dyDescent="0.3">
      <c r="A432" t="s">
        <v>1299</v>
      </c>
      <c r="B432" t="s">
        <v>1300</v>
      </c>
      <c r="C432" t="s">
        <v>37</v>
      </c>
      <c r="D432" t="s">
        <v>49</v>
      </c>
      <c r="E432" t="s">
        <v>45</v>
      </c>
      <c r="F432" t="s">
        <v>1301</v>
      </c>
      <c r="G432" t="str">
        <f>TEXT(Table1_1[[#This Row],[Joining_Date]],"mmm")</f>
        <v>Oct</v>
      </c>
      <c r="H432" t="str">
        <f>TEXT(Table1_1[[#This Row],[Joining_Date]],"yyyy")</f>
        <v>2021</v>
      </c>
      <c r="I432" s="1">
        <v>45019</v>
      </c>
      <c r="J432" t="s">
        <v>18</v>
      </c>
      <c r="K432">
        <f>IF(Table1_1[[#This Row],[Status]]="Exited",1,0)</f>
        <v>1</v>
      </c>
      <c r="L432">
        <f>IF(Table1_1[[#This Row],[Status]]="Exited",0,1)</f>
        <v>0</v>
      </c>
      <c r="M432">
        <v>296044</v>
      </c>
      <c r="N432">
        <v>3.1</v>
      </c>
      <c r="O432" t="s">
        <v>42</v>
      </c>
      <c r="P432">
        <v>91</v>
      </c>
      <c r="Q432" t="str">
        <f t="shared" si="6"/>
        <v>Low</v>
      </c>
    </row>
    <row r="433" spans="1:17" x14ac:dyDescent="0.3">
      <c r="A433" t="s">
        <v>1302</v>
      </c>
      <c r="B433" t="s">
        <v>1303</v>
      </c>
      <c r="C433" t="s">
        <v>37</v>
      </c>
      <c r="D433" t="s">
        <v>49</v>
      </c>
      <c r="E433" t="s">
        <v>27</v>
      </c>
      <c r="F433" t="s">
        <v>1304</v>
      </c>
      <c r="G433" t="str">
        <f>TEXT(Table1_1[[#This Row],[Joining_Date]],"mmm")</f>
        <v>Jul</v>
      </c>
      <c r="H433" t="str">
        <f>TEXT(Table1_1[[#This Row],[Joining_Date]],"yyyy")</f>
        <v>2024</v>
      </c>
      <c r="I433" s="1">
        <v>46322</v>
      </c>
      <c r="J433" t="s">
        <v>18</v>
      </c>
      <c r="K433">
        <f>IF(Table1_1[[#This Row],[Status]]="Exited",1,0)</f>
        <v>1</v>
      </c>
      <c r="L433">
        <f>IF(Table1_1[[#This Row],[Status]]="Exited",0,1)</f>
        <v>0</v>
      </c>
      <c r="M433">
        <v>377889</v>
      </c>
      <c r="N433">
        <v>4.3</v>
      </c>
      <c r="O433" t="s">
        <v>42</v>
      </c>
      <c r="P433">
        <v>76.7</v>
      </c>
      <c r="Q433" t="str">
        <f t="shared" si="6"/>
        <v>High</v>
      </c>
    </row>
    <row r="434" spans="1:17" x14ac:dyDescent="0.3">
      <c r="A434" t="s">
        <v>1305</v>
      </c>
      <c r="B434" t="s">
        <v>1306</v>
      </c>
      <c r="C434" t="s">
        <v>37</v>
      </c>
      <c r="D434" t="s">
        <v>49</v>
      </c>
      <c r="E434" t="s">
        <v>27</v>
      </c>
      <c r="F434" t="s">
        <v>1307</v>
      </c>
      <c r="G434" t="str">
        <f>TEXT(Table1_1[[#This Row],[Joining_Date]],"mmm")</f>
        <v>Jan</v>
      </c>
      <c r="H434" t="str">
        <f>TEXT(Table1_1[[#This Row],[Joining_Date]],"yyyy")</f>
        <v>2020</v>
      </c>
      <c r="I434" s="1">
        <v>44365</v>
      </c>
      <c r="J434" t="s">
        <v>18</v>
      </c>
      <c r="K434">
        <f>IF(Table1_1[[#This Row],[Status]]="Exited",1,0)</f>
        <v>1</v>
      </c>
      <c r="L434">
        <f>IF(Table1_1[[#This Row],[Status]]="Exited",0,1)</f>
        <v>0</v>
      </c>
      <c r="M434">
        <v>719802</v>
      </c>
      <c r="N434">
        <v>3.4</v>
      </c>
      <c r="O434" t="s">
        <v>30</v>
      </c>
      <c r="P434">
        <v>94.1</v>
      </c>
      <c r="Q434" t="str">
        <f t="shared" si="6"/>
        <v>Low</v>
      </c>
    </row>
    <row r="435" spans="1:17" x14ac:dyDescent="0.3">
      <c r="A435" t="s">
        <v>1308</v>
      </c>
      <c r="B435" t="s">
        <v>1309</v>
      </c>
      <c r="C435" t="s">
        <v>22</v>
      </c>
      <c r="D435" t="s">
        <v>49</v>
      </c>
      <c r="E435" t="s">
        <v>45</v>
      </c>
      <c r="F435" t="s">
        <v>1310</v>
      </c>
      <c r="G435" t="str">
        <f>TEXT(Table1_1[[#This Row],[Joining_Date]],"mmm")</f>
        <v>May</v>
      </c>
      <c r="H435" t="str">
        <f>TEXT(Table1_1[[#This Row],[Joining_Date]],"yyyy")</f>
        <v>2020</v>
      </c>
      <c r="I435" s="1">
        <v>44381</v>
      </c>
      <c r="J435" t="s">
        <v>18</v>
      </c>
      <c r="K435">
        <f>IF(Table1_1[[#This Row],[Status]]="Exited",1,0)</f>
        <v>1</v>
      </c>
      <c r="L435">
        <f>IF(Table1_1[[#This Row],[Status]]="Exited",0,1)</f>
        <v>0</v>
      </c>
      <c r="M435">
        <v>237011</v>
      </c>
      <c r="N435">
        <v>3.2</v>
      </c>
      <c r="O435" t="s">
        <v>19</v>
      </c>
      <c r="P435">
        <v>88.6</v>
      </c>
      <c r="Q435" t="str">
        <f t="shared" si="6"/>
        <v>Low</v>
      </c>
    </row>
    <row r="436" spans="1:17" x14ac:dyDescent="0.3">
      <c r="A436" t="s">
        <v>1311</v>
      </c>
      <c r="B436" t="s">
        <v>1312</v>
      </c>
      <c r="C436" t="s">
        <v>22</v>
      </c>
      <c r="D436" t="s">
        <v>33</v>
      </c>
      <c r="E436" t="s">
        <v>45</v>
      </c>
      <c r="F436" t="s">
        <v>1313</v>
      </c>
      <c r="G436" t="str">
        <f>TEXT(Table1_1[[#This Row],[Joining_Date]],"mmm")</f>
        <v>Feb</v>
      </c>
      <c r="H436" t="str">
        <f>TEXT(Table1_1[[#This Row],[Joining_Date]],"yyyy")</f>
        <v>2019</v>
      </c>
      <c r="I436" s="1">
        <v>43954</v>
      </c>
      <c r="J436" t="s">
        <v>18</v>
      </c>
      <c r="K436">
        <f>IF(Table1_1[[#This Row],[Status]]="Exited",1,0)</f>
        <v>1</v>
      </c>
      <c r="L436">
        <f>IF(Table1_1[[#This Row],[Status]]="Exited",0,1)</f>
        <v>0</v>
      </c>
      <c r="M436">
        <v>581047</v>
      </c>
      <c r="N436">
        <v>5</v>
      </c>
      <c r="O436" t="s">
        <v>42</v>
      </c>
      <c r="P436">
        <v>96.6</v>
      </c>
      <c r="Q436" t="str">
        <f t="shared" si="6"/>
        <v>High</v>
      </c>
    </row>
    <row r="437" spans="1:17" x14ac:dyDescent="0.3">
      <c r="A437" t="s">
        <v>1314</v>
      </c>
      <c r="B437" t="s">
        <v>1315</v>
      </c>
      <c r="C437" t="s">
        <v>54</v>
      </c>
      <c r="D437" t="s">
        <v>15</v>
      </c>
      <c r="E437" t="s">
        <v>45</v>
      </c>
      <c r="F437" t="s">
        <v>1316</v>
      </c>
      <c r="G437" t="str">
        <f>TEXT(Table1_1[[#This Row],[Joining_Date]],"mmm")</f>
        <v>Mar</v>
      </c>
      <c r="H437" t="str">
        <f>TEXT(Table1_1[[#This Row],[Joining_Date]],"yyyy")</f>
        <v>2020</v>
      </c>
      <c r="I437" s="1">
        <v>44400</v>
      </c>
      <c r="J437" t="s">
        <v>18</v>
      </c>
      <c r="K437">
        <f>IF(Table1_1[[#This Row],[Status]]="Exited",1,0)</f>
        <v>1</v>
      </c>
      <c r="L437">
        <f>IF(Table1_1[[#This Row],[Status]]="Exited",0,1)</f>
        <v>0</v>
      </c>
      <c r="M437">
        <v>317111</v>
      </c>
      <c r="N437">
        <v>4.9000000000000004</v>
      </c>
      <c r="O437" t="s">
        <v>30</v>
      </c>
      <c r="P437">
        <v>79</v>
      </c>
      <c r="Q437" t="str">
        <f t="shared" si="6"/>
        <v>High</v>
      </c>
    </row>
    <row r="438" spans="1:17" x14ac:dyDescent="0.3">
      <c r="A438" t="s">
        <v>1317</v>
      </c>
      <c r="B438" t="s">
        <v>1318</v>
      </c>
      <c r="C438" t="s">
        <v>54</v>
      </c>
      <c r="D438" t="s">
        <v>33</v>
      </c>
      <c r="E438" t="s">
        <v>50</v>
      </c>
      <c r="F438" t="s">
        <v>1319</v>
      </c>
      <c r="G438" t="str">
        <f>TEXT(Table1_1[[#This Row],[Joining_Date]],"mmm")</f>
        <v>May</v>
      </c>
      <c r="H438" t="str">
        <f>TEXT(Table1_1[[#This Row],[Joining_Date]],"yyyy")</f>
        <v>2023</v>
      </c>
      <c r="I438" s="1"/>
      <c r="J438" t="s">
        <v>29</v>
      </c>
      <c r="K438">
        <f>IF(Table1_1[[#This Row],[Status]]="Exited",1,0)</f>
        <v>0</v>
      </c>
      <c r="L438">
        <f>IF(Table1_1[[#This Row],[Status]]="Exited",0,1)</f>
        <v>1</v>
      </c>
      <c r="M438">
        <v>449398</v>
      </c>
      <c r="N438">
        <v>2.5</v>
      </c>
      <c r="O438" t="s">
        <v>19</v>
      </c>
      <c r="P438">
        <v>75.900000000000006</v>
      </c>
      <c r="Q438" t="str">
        <f t="shared" si="6"/>
        <v>Low</v>
      </c>
    </row>
    <row r="439" spans="1:17" x14ac:dyDescent="0.3">
      <c r="A439" t="s">
        <v>1320</v>
      </c>
      <c r="B439" t="s">
        <v>1321</v>
      </c>
      <c r="C439" t="s">
        <v>14</v>
      </c>
      <c r="D439" t="s">
        <v>33</v>
      </c>
      <c r="E439" t="s">
        <v>50</v>
      </c>
      <c r="F439" t="s">
        <v>146</v>
      </c>
      <c r="G439" t="str">
        <f>TEXT(Table1_1[[#This Row],[Joining_Date]],"mmm")</f>
        <v>Jun</v>
      </c>
      <c r="H439" t="str">
        <f>TEXT(Table1_1[[#This Row],[Joining_Date]],"yyyy")</f>
        <v>2021</v>
      </c>
      <c r="I439" s="1">
        <v>44396</v>
      </c>
      <c r="J439" t="s">
        <v>18</v>
      </c>
      <c r="K439">
        <f>IF(Table1_1[[#This Row],[Status]]="Exited",1,0)</f>
        <v>1</v>
      </c>
      <c r="L439">
        <f>IF(Table1_1[[#This Row],[Status]]="Exited",0,1)</f>
        <v>0</v>
      </c>
      <c r="M439">
        <v>1172569</v>
      </c>
      <c r="N439">
        <v>2.5</v>
      </c>
      <c r="O439" t="s">
        <v>42</v>
      </c>
      <c r="P439">
        <v>88.2</v>
      </c>
      <c r="Q439" t="str">
        <f t="shared" si="6"/>
        <v>Low</v>
      </c>
    </row>
    <row r="440" spans="1:17" x14ac:dyDescent="0.3">
      <c r="A440" t="s">
        <v>1322</v>
      </c>
      <c r="B440" t="s">
        <v>1323</v>
      </c>
      <c r="C440" t="s">
        <v>14</v>
      </c>
      <c r="D440" t="s">
        <v>10</v>
      </c>
      <c r="E440" t="s">
        <v>27</v>
      </c>
      <c r="F440" t="s">
        <v>1324</v>
      </c>
      <c r="G440" t="str">
        <f>TEXT(Table1_1[[#This Row],[Joining_Date]],"mmm")</f>
        <v>Jun</v>
      </c>
      <c r="H440" t="str">
        <f>TEXT(Table1_1[[#This Row],[Joining_Date]],"yyyy")</f>
        <v>2023</v>
      </c>
      <c r="I440" s="1">
        <v>45554</v>
      </c>
      <c r="J440" t="s">
        <v>18</v>
      </c>
      <c r="K440">
        <f>IF(Table1_1[[#This Row],[Status]]="Exited",1,0)</f>
        <v>1</v>
      </c>
      <c r="L440">
        <f>IF(Table1_1[[#This Row],[Status]]="Exited",0,1)</f>
        <v>0</v>
      </c>
      <c r="M440">
        <v>531179</v>
      </c>
      <c r="N440">
        <v>2.4</v>
      </c>
      <c r="O440" t="s">
        <v>24</v>
      </c>
      <c r="P440">
        <v>78.900000000000006</v>
      </c>
      <c r="Q440" t="str">
        <f t="shared" si="6"/>
        <v>Low</v>
      </c>
    </row>
    <row r="441" spans="1:17" x14ac:dyDescent="0.3">
      <c r="A441" t="s">
        <v>1325</v>
      </c>
      <c r="B441" t="s">
        <v>1326</v>
      </c>
      <c r="C441" t="s">
        <v>14</v>
      </c>
      <c r="D441" t="s">
        <v>49</v>
      </c>
      <c r="E441" t="s">
        <v>16</v>
      </c>
      <c r="F441" t="s">
        <v>1327</v>
      </c>
      <c r="G441" t="str">
        <f>TEXT(Table1_1[[#This Row],[Joining_Date]],"mmm")</f>
        <v>Jul</v>
      </c>
      <c r="H441" t="str">
        <f>TEXT(Table1_1[[#This Row],[Joining_Date]],"yyyy")</f>
        <v>2018</v>
      </c>
      <c r="I441" s="1"/>
      <c r="J441" t="s">
        <v>29</v>
      </c>
      <c r="K441">
        <f>IF(Table1_1[[#This Row],[Status]]="Exited",1,0)</f>
        <v>0</v>
      </c>
      <c r="L441">
        <f>IF(Table1_1[[#This Row],[Status]]="Exited",0,1)</f>
        <v>1</v>
      </c>
      <c r="M441">
        <v>691316</v>
      </c>
      <c r="N441">
        <v>2.2000000000000002</v>
      </c>
      <c r="O441" t="s">
        <v>24</v>
      </c>
      <c r="P441">
        <v>85.1</v>
      </c>
      <c r="Q441" t="str">
        <f t="shared" si="6"/>
        <v>Low</v>
      </c>
    </row>
    <row r="442" spans="1:17" x14ac:dyDescent="0.3">
      <c r="A442" t="s">
        <v>1328</v>
      </c>
      <c r="B442" t="s">
        <v>1329</v>
      </c>
      <c r="C442" t="s">
        <v>61</v>
      </c>
      <c r="D442" t="s">
        <v>10</v>
      </c>
      <c r="E442" t="s">
        <v>45</v>
      </c>
      <c r="F442" t="s">
        <v>1330</v>
      </c>
      <c r="G442" t="str">
        <f>TEXT(Table1_1[[#This Row],[Joining_Date]],"mmm")</f>
        <v>Sep</v>
      </c>
      <c r="H442" t="str">
        <f>TEXT(Table1_1[[#This Row],[Joining_Date]],"yyyy")</f>
        <v>2022</v>
      </c>
      <c r="I442" s="1">
        <v>45800</v>
      </c>
      <c r="J442" t="s">
        <v>18</v>
      </c>
      <c r="K442">
        <f>IF(Table1_1[[#This Row],[Status]]="Exited",1,0)</f>
        <v>1</v>
      </c>
      <c r="L442">
        <f>IF(Table1_1[[#This Row],[Status]]="Exited",0,1)</f>
        <v>0</v>
      </c>
      <c r="M442">
        <v>731916</v>
      </c>
      <c r="N442">
        <v>2</v>
      </c>
      <c r="O442" t="s">
        <v>19</v>
      </c>
      <c r="P442">
        <v>98.2</v>
      </c>
      <c r="Q442" t="str">
        <f t="shared" si="6"/>
        <v>Low</v>
      </c>
    </row>
    <row r="443" spans="1:17" x14ac:dyDescent="0.3">
      <c r="A443" t="s">
        <v>1331</v>
      </c>
      <c r="B443" t="s">
        <v>1332</v>
      </c>
      <c r="C443" t="s">
        <v>61</v>
      </c>
      <c r="D443" t="s">
        <v>33</v>
      </c>
      <c r="E443" t="s">
        <v>27</v>
      </c>
      <c r="F443" t="s">
        <v>1333</v>
      </c>
      <c r="G443" t="str">
        <f>TEXT(Table1_1[[#This Row],[Joining_Date]],"mmm")</f>
        <v>Jan</v>
      </c>
      <c r="H443" t="str">
        <f>TEXT(Table1_1[[#This Row],[Joining_Date]],"yyyy")</f>
        <v>2023</v>
      </c>
      <c r="I443" s="1">
        <v>45389</v>
      </c>
      <c r="J443" t="s">
        <v>18</v>
      </c>
      <c r="K443">
        <f>IF(Table1_1[[#This Row],[Status]]="Exited",1,0)</f>
        <v>1</v>
      </c>
      <c r="L443">
        <f>IF(Table1_1[[#This Row],[Status]]="Exited",0,1)</f>
        <v>0</v>
      </c>
      <c r="M443">
        <v>956183</v>
      </c>
      <c r="N443">
        <v>4.5</v>
      </c>
      <c r="O443" t="s">
        <v>24</v>
      </c>
      <c r="P443">
        <v>86.2</v>
      </c>
      <c r="Q443" t="str">
        <f t="shared" si="6"/>
        <v>High</v>
      </c>
    </row>
    <row r="444" spans="1:17" x14ac:dyDescent="0.3">
      <c r="A444" t="s">
        <v>1334</v>
      </c>
      <c r="B444" t="s">
        <v>1335</v>
      </c>
      <c r="C444" t="s">
        <v>22</v>
      </c>
      <c r="D444" t="s">
        <v>10</v>
      </c>
      <c r="E444" t="s">
        <v>27</v>
      </c>
      <c r="F444" t="s">
        <v>1336</v>
      </c>
      <c r="G444" t="str">
        <f>TEXT(Table1_1[[#This Row],[Joining_Date]],"mmm")</f>
        <v>Apr</v>
      </c>
      <c r="H444" t="str">
        <f>TEXT(Table1_1[[#This Row],[Joining_Date]],"yyyy")</f>
        <v>2020</v>
      </c>
      <c r="I444" s="1">
        <v>44806</v>
      </c>
      <c r="J444" t="s">
        <v>18</v>
      </c>
      <c r="K444">
        <f>IF(Table1_1[[#This Row],[Status]]="Exited",1,0)</f>
        <v>1</v>
      </c>
      <c r="L444">
        <f>IF(Table1_1[[#This Row],[Status]]="Exited",0,1)</f>
        <v>0</v>
      </c>
      <c r="M444">
        <v>1085694</v>
      </c>
      <c r="N444">
        <v>3.6</v>
      </c>
      <c r="O444" t="s">
        <v>24</v>
      </c>
      <c r="P444">
        <v>89.6</v>
      </c>
      <c r="Q444" t="str">
        <f t="shared" si="6"/>
        <v>Low</v>
      </c>
    </row>
    <row r="445" spans="1:17" x14ac:dyDescent="0.3">
      <c r="A445" t="s">
        <v>1337</v>
      </c>
      <c r="B445" t="s">
        <v>1338</v>
      </c>
      <c r="C445" t="s">
        <v>54</v>
      </c>
      <c r="D445" t="s">
        <v>15</v>
      </c>
      <c r="E445" t="s">
        <v>27</v>
      </c>
      <c r="F445" t="s">
        <v>1339</v>
      </c>
      <c r="G445" t="str">
        <f>TEXT(Table1_1[[#This Row],[Joining_Date]],"mmm")</f>
        <v>May</v>
      </c>
      <c r="H445" t="str">
        <f>TEXT(Table1_1[[#This Row],[Joining_Date]],"yyyy")</f>
        <v>2022</v>
      </c>
      <c r="I445" s="1">
        <v>46182</v>
      </c>
      <c r="J445" t="s">
        <v>18</v>
      </c>
      <c r="K445">
        <f>IF(Table1_1[[#This Row],[Status]]="Exited",1,0)</f>
        <v>1</v>
      </c>
      <c r="L445">
        <f>IF(Table1_1[[#This Row],[Status]]="Exited",0,1)</f>
        <v>0</v>
      </c>
      <c r="M445">
        <v>480049</v>
      </c>
      <c r="N445">
        <v>3.8</v>
      </c>
      <c r="O445" t="s">
        <v>19</v>
      </c>
      <c r="P445">
        <v>92.4</v>
      </c>
      <c r="Q445" t="str">
        <f t="shared" si="6"/>
        <v>Low</v>
      </c>
    </row>
    <row r="446" spans="1:17" x14ac:dyDescent="0.3">
      <c r="A446" t="s">
        <v>1340</v>
      </c>
      <c r="B446" t="s">
        <v>1341</v>
      </c>
      <c r="C446" t="s">
        <v>37</v>
      </c>
      <c r="D446" t="s">
        <v>33</v>
      </c>
      <c r="E446" t="s">
        <v>50</v>
      </c>
      <c r="F446" t="s">
        <v>1342</v>
      </c>
      <c r="G446" t="str">
        <f>TEXT(Table1_1[[#This Row],[Joining_Date]],"mmm")</f>
        <v>Apr</v>
      </c>
      <c r="H446" t="str">
        <f>TEXT(Table1_1[[#This Row],[Joining_Date]],"yyyy")</f>
        <v>2023</v>
      </c>
      <c r="I446" s="1">
        <v>46107</v>
      </c>
      <c r="J446" t="s">
        <v>18</v>
      </c>
      <c r="K446">
        <f>IF(Table1_1[[#This Row],[Status]]="Exited",1,0)</f>
        <v>1</v>
      </c>
      <c r="L446">
        <f>IF(Table1_1[[#This Row],[Status]]="Exited",0,1)</f>
        <v>0</v>
      </c>
      <c r="M446">
        <v>1093440</v>
      </c>
      <c r="N446">
        <v>3</v>
      </c>
      <c r="O446" t="s">
        <v>30</v>
      </c>
      <c r="P446">
        <v>95.9</v>
      </c>
      <c r="Q446" t="str">
        <f t="shared" si="6"/>
        <v>Low</v>
      </c>
    </row>
    <row r="447" spans="1:17" x14ac:dyDescent="0.3">
      <c r="A447" t="s">
        <v>1343</v>
      </c>
      <c r="B447" t="s">
        <v>1344</v>
      </c>
      <c r="C447" t="s">
        <v>54</v>
      </c>
      <c r="D447" t="s">
        <v>33</v>
      </c>
      <c r="E447" t="s">
        <v>50</v>
      </c>
      <c r="F447" t="s">
        <v>1345</v>
      </c>
      <c r="G447" t="str">
        <f>TEXT(Table1_1[[#This Row],[Joining_Date]],"mmm")</f>
        <v>Mar</v>
      </c>
      <c r="H447" t="str">
        <f>TEXT(Table1_1[[#This Row],[Joining_Date]],"yyyy")</f>
        <v>2022</v>
      </c>
      <c r="I447" s="1">
        <v>46043</v>
      </c>
      <c r="J447" t="s">
        <v>18</v>
      </c>
      <c r="K447">
        <f>IF(Table1_1[[#This Row],[Status]]="Exited",1,0)</f>
        <v>1</v>
      </c>
      <c r="L447">
        <f>IF(Table1_1[[#This Row],[Status]]="Exited",0,1)</f>
        <v>0</v>
      </c>
      <c r="M447">
        <v>295268</v>
      </c>
      <c r="N447">
        <v>4.9000000000000004</v>
      </c>
      <c r="O447" t="s">
        <v>24</v>
      </c>
      <c r="P447">
        <v>85.1</v>
      </c>
      <c r="Q447" t="str">
        <f t="shared" si="6"/>
        <v>High</v>
      </c>
    </row>
    <row r="448" spans="1:17" x14ac:dyDescent="0.3">
      <c r="A448" t="s">
        <v>1346</v>
      </c>
      <c r="B448" t="s">
        <v>1347</v>
      </c>
      <c r="C448" t="s">
        <v>54</v>
      </c>
      <c r="D448" t="s">
        <v>10</v>
      </c>
      <c r="E448" t="s">
        <v>27</v>
      </c>
      <c r="F448" t="s">
        <v>1304</v>
      </c>
      <c r="G448" t="str">
        <f>TEXT(Table1_1[[#This Row],[Joining_Date]],"mmm")</f>
        <v>Jul</v>
      </c>
      <c r="H448" t="str">
        <f>TEXT(Table1_1[[#This Row],[Joining_Date]],"yyyy")</f>
        <v>2024</v>
      </c>
      <c r="I448" s="1">
        <v>45748</v>
      </c>
      <c r="J448" t="s">
        <v>18</v>
      </c>
      <c r="K448">
        <f>IF(Table1_1[[#This Row],[Status]]="Exited",1,0)</f>
        <v>1</v>
      </c>
      <c r="L448">
        <f>IF(Table1_1[[#This Row],[Status]]="Exited",0,1)</f>
        <v>0</v>
      </c>
      <c r="M448">
        <v>875639</v>
      </c>
      <c r="N448">
        <v>3.2</v>
      </c>
      <c r="O448" t="s">
        <v>30</v>
      </c>
      <c r="P448">
        <v>81.400000000000006</v>
      </c>
      <c r="Q448" t="str">
        <f t="shared" si="6"/>
        <v>Low</v>
      </c>
    </row>
    <row r="449" spans="1:17" x14ac:dyDescent="0.3">
      <c r="A449" t="s">
        <v>1348</v>
      </c>
      <c r="B449" t="s">
        <v>1349</v>
      </c>
      <c r="C449" t="s">
        <v>14</v>
      </c>
      <c r="D449" t="s">
        <v>33</v>
      </c>
      <c r="E449" t="s">
        <v>27</v>
      </c>
      <c r="F449" t="s">
        <v>1350</v>
      </c>
      <c r="G449" t="str">
        <f>TEXT(Table1_1[[#This Row],[Joining_Date]],"mmm")</f>
        <v>Aug</v>
      </c>
      <c r="H449" t="str">
        <f>TEXT(Table1_1[[#This Row],[Joining_Date]],"yyyy")</f>
        <v>2018</v>
      </c>
      <c r="I449" s="1"/>
      <c r="J449" t="s">
        <v>29</v>
      </c>
      <c r="K449">
        <f>IF(Table1_1[[#This Row],[Status]]="Exited",1,0)</f>
        <v>0</v>
      </c>
      <c r="L449">
        <f>IF(Table1_1[[#This Row],[Status]]="Exited",0,1)</f>
        <v>1</v>
      </c>
      <c r="M449">
        <v>916350</v>
      </c>
      <c r="N449">
        <v>4.4000000000000004</v>
      </c>
      <c r="O449" t="s">
        <v>42</v>
      </c>
      <c r="P449">
        <v>94.7</v>
      </c>
      <c r="Q449" t="str">
        <f t="shared" si="6"/>
        <v>High</v>
      </c>
    </row>
    <row r="450" spans="1:17" x14ac:dyDescent="0.3">
      <c r="A450" t="s">
        <v>1351</v>
      </c>
      <c r="B450" t="s">
        <v>1352</v>
      </c>
      <c r="C450" t="s">
        <v>37</v>
      </c>
      <c r="D450" t="s">
        <v>33</v>
      </c>
      <c r="E450" t="s">
        <v>27</v>
      </c>
      <c r="F450" t="s">
        <v>1353</v>
      </c>
      <c r="G450" t="str">
        <f>TEXT(Table1_1[[#This Row],[Joining_Date]],"mmm")</f>
        <v>Oct</v>
      </c>
      <c r="H450" t="str">
        <f>TEXT(Table1_1[[#This Row],[Joining_Date]],"yyyy")</f>
        <v>2023</v>
      </c>
      <c r="I450" s="1">
        <v>45390</v>
      </c>
      <c r="J450" t="s">
        <v>18</v>
      </c>
      <c r="K450">
        <f>IF(Table1_1[[#This Row],[Status]]="Exited",1,0)</f>
        <v>1</v>
      </c>
      <c r="L450">
        <f>IF(Table1_1[[#This Row],[Status]]="Exited",0,1)</f>
        <v>0</v>
      </c>
      <c r="M450">
        <v>1115722</v>
      </c>
      <c r="N450">
        <v>3.6</v>
      </c>
      <c r="O450" t="s">
        <v>24</v>
      </c>
      <c r="P450">
        <v>90.4</v>
      </c>
      <c r="Q450" t="str">
        <f t="shared" ref="Q450:Q501" si="7">IF(AND(N450&gt;4,P450&gt;=75),"High",
 IF(AND(N450&gt;2,N450&lt;=4,P450&gt;40,P450&lt;=74),"Average","Low"))</f>
        <v>Low</v>
      </c>
    </row>
    <row r="451" spans="1:17" x14ac:dyDescent="0.3">
      <c r="A451" t="s">
        <v>1354</v>
      </c>
      <c r="B451" t="s">
        <v>1355</v>
      </c>
      <c r="C451" t="s">
        <v>22</v>
      </c>
      <c r="D451" t="s">
        <v>10</v>
      </c>
      <c r="E451" t="s">
        <v>16</v>
      </c>
      <c r="F451" t="s">
        <v>1356</v>
      </c>
      <c r="G451" t="str">
        <f>TEXT(Table1_1[[#This Row],[Joining_Date]],"mmm")</f>
        <v>May</v>
      </c>
      <c r="H451" t="str">
        <f>TEXT(Table1_1[[#This Row],[Joining_Date]],"yyyy")</f>
        <v>2023</v>
      </c>
      <c r="I451" s="1"/>
      <c r="J451" t="s">
        <v>29</v>
      </c>
      <c r="K451">
        <f>IF(Table1_1[[#This Row],[Status]]="Exited",1,0)</f>
        <v>0</v>
      </c>
      <c r="L451">
        <f>IF(Table1_1[[#This Row],[Status]]="Exited",0,1)</f>
        <v>1</v>
      </c>
      <c r="M451">
        <v>430934</v>
      </c>
      <c r="N451">
        <v>2.5</v>
      </c>
      <c r="O451" t="s">
        <v>19</v>
      </c>
      <c r="P451">
        <v>80.5</v>
      </c>
      <c r="Q451" t="str">
        <f t="shared" si="7"/>
        <v>Low</v>
      </c>
    </row>
    <row r="452" spans="1:17" x14ac:dyDescent="0.3">
      <c r="A452" t="s">
        <v>1357</v>
      </c>
      <c r="B452" t="s">
        <v>1358</v>
      </c>
      <c r="C452" t="s">
        <v>37</v>
      </c>
      <c r="D452" t="s">
        <v>33</v>
      </c>
      <c r="E452" t="s">
        <v>50</v>
      </c>
      <c r="F452" t="s">
        <v>1359</v>
      </c>
      <c r="G452" t="str">
        <f>TEXT(Table1_1[[#This Row],[Joining_Date]],"mmm")</f>
        <v>May</v>
      </c>
      <c r="H452" t="str">
        <f>TEXT(Table1_1[[#This Row],[Joining_Date]],"yyyy")</f>
        <v>2018</v>
      </c>
      <c r="I452" s="1">
        <v>43738</v>
      </c>
      <c r="J452" t="s">
        <v>18</v>
      </c>
      <c r="K452">
        <f>IF(Table1_1[[#This Row],[Status]]="Exited",1,0)</f>
        <v>1</v>
      </c>
      <c r="L452">
        <f>IF(Table1_1[[#This Row],[Status]]="Exited",0,1)</f>
        <v>0</v>
      </c>
      <c r="M452">
        <v>846482</v>
      </c>
      <c r="N452">
        <v>2.8</v>
      </c>
      <c r="O452" t="s">
        <v>30</v>
      </c>
      <c r="P452">
        <v>80.3</v>
      </c>
      <c r="Q452" t="str">
        <f t="shared" si="7"/>
        <v>Low</v>
      </c>
    </row>
    <row r="453" spans="1:17" x14ac:dyDescent="0.3">
      <c r="A453" t="s">
        <v>1360</v>
      </c>
      <c r="B453" t="s">
        <v>1361</v>
      </c>
      <c r="C453" t="s">
        <v>37</v>
      </c>
      <c r="D453" t="s">
        <v>33</v>
      </c>
      <c r="E453" t="s">
        <v>27</v>
      </c>
      <c r="F453" t="s">
        <v>1362</v>
      </c>
      <c r="G453" t="str">
        <f>TEXT(Table1_1[[#This Row],[Joining_Date]],"mmm")</f>
        <v>Apr</v>
      </c>
      <c r="H453" t="str">
        <f>TEXT(Table1_1[[#This Row],[Joining_Date]],"yyyy")</f>
        <v>2019</v>
      </c>
      <c r="I453" s="1">
        <v>44459</v>
      </c>
      <c r="J453" t="s">
        <v>18</v>
      </c>
      <c r="K453">
        <f>IF(Table1_1[[#This Row],[Status]]="Exited",1,0)</f>
        <v>1</v>
      </c>
      <c r="L453">
        <f>IF(Table1_1[[#This Row],[Status]]="Exited",0,1)</f>
        <v>0</v>
      </c>
      <c r="M453">
        <v>244330</v>
      </c>
      <c r="N453">
        <v>2.7</v>
      </c>
      <c r="O453" t="s">
        <v>30</v>
      </c>
      <c r="P453">
        <v>76.2</v>
      </c>
      <c r="Q453" t="str">
        <f t="shared" si="7"/>
        <v>Low</v>
      </c>
    </row>
    <row r="454" spans="1:17" x14ac:dyDescent="0.3">
      <c r="A454" t="s">
        <v>1363</v>
      </c>
      <c r="B454" t="s">
        <v>1364</v>
      </c>
      <c r="C454" t="s">
        <v>14</v>
      </c>
      <c r="D454" t="s">
        <v>15</v>
      </c>
      <c r="E454" t="s">
        <v>16</v>
      </c>
      <c r="F454" t="s">
        <v>1365</v>
      </c>
      <c r="G454" t="str">
        <f>TEXT(Table1_1[[#This Row],[Joining_Date]],"mmm")</f>
        <v>Jul</v>
      </c>
      <c r="H454" t="str">
        <f>TEXT(Table1_1[[#This Row],[Joining_Date]],"yyyy")</f>
        <v>2019</v>
      </c>
      <c r="I454" s="1"/>
      <c r="J454" t="s">
        <v>29</v>
      </c>
      <c r="K454">
        <f>IF(Table1_1[[#This Row],[Status]]="Exited",1,0)</f>
        <v>0</v>
      </c>
      <c r="L454">
        <f>IF(Table1_1[[#This Row],[Status]]="Exited",0,1)</f>
        <v>1</v>
      </c>
      <c r="M454">
        <v>1130982</v>
      </c>
      <c r="N454">
        <v>4.2</v>
      </c>
      <c r="O454" t="s">
        <v>42</v>
      </c>
      <c r="P454">
        <v>94.6</v>
      </c>
      <c r="Q454" t="str">
        <f t="shared" si="7"/>
        <v>High</v>
      </c>
    </row>
    <row r="455" spans="1:17" x14ac:dyDescent="0.3">
      <c r="A455" t="s">
        <v>1366</v>
      </c>
      <c r="B455" t="s">
        <v>1367</v>
      </c>
      <c r="C455" t="s">
        <v>54</v>
      </c>
      <c r="D455" t="s">
        <v>15</v>
      </c>
      <c r="E455" t="s">
        <v>27</v>
      </c>
      <c r="F455" t="s">
        <v>1368</v>
      </c>
      <c r="G455" t="str">
        <f>TEXT(Table1_1[[#This Row],[Joining_Date]],"mmm")</f>
        <v>May</v>
      </c>
      <c r="H455" t="str">
        <f>TEXT(Table1_1[[#This Row],[Joining_Date]],"yyyy")</f>
        <v>2020</v>
      </c>
      <c r="I455" s="1">
        <v>44944</v>
      </c>
      <c r="J455" t="s">
        <v>18</v>
      </c>
      <c r="K455">
        <f>IF(Table1_1[[#This Row],[Status]]="Exited",1,0)</f>
        <v>1</v>
      </c>
      <c r="L455">
        <f>IF(Table1_1[[#This Row],[Status]]="Exited",0,1)</f>
        <v>0</v>
      </c>
      <c r="M455">
        <v>837338</v>
      </c>
      <c r="N455">
        <v>4.4000000000000004</v>
      </c>
      <c r="O455" t="s">
        <v>30</v>
      </c>
      <c r="P455">
        <v>78.900000000000006</v>
      </c>
      <c r="Q455" t="str">
        <f t="shared" si="7"/>
        <v>High</v>
      </c>
    </row>
    <row r="456" spans="1:17" x14ac:dyDescent="0.3">
      <c r="A456" t="s">
        <v>1369</v>
      </c>
      <c r="B456" t="s">
        <v>1370</v>
      </c>
      <c r="C456" t="s">
        <v>22</v>
      </c>
      <c r="D456" t="s">
        <v>33</v>
      </c>
      <c r="E456" t="s">
        <v>27</v>
      </c>
      <c r="F456" t="s">
        <v>1371</v>
      </c>
      <c r="G456" t="str">
        <f>TEXT(Table1_1[[#This Row],[Joining_Date]],"mmm")</f>
        <v>Apr</v>
      </c>
      <c r="H456" t="str">
        <f>TEXT(Table1_1[[#This Row],[Joining_Date]],"yyyy")</f>
        <v>2022</v>
      </c>
      <c r="I456" s="1">
        <v>45413</v>
      </c>
      <c r="J456" t="s">
        <v>18</v>
      </c>
      <c r="K456">
        <f>IF(Table1_1[[#This Row],[Status]]="Exited",1,0)</f>
        <v>1</v>
      </c>
      <c r="L456">
        <f>IF(Table1_1[[#This Row],[Status]]="Exited",0,1)</f>
        <v>0</v>
      </c>
      <c r="M456">
        <v>1151138</v>
      </c>
      <c r="N456">
        <v>3.7</v>
      </c>
      <c r="O456" t="s">
        <v>19</v>
      </c>
      <c r="P456">
        <v>97.7</v>
      </c>
      <c r="Q456" t="str">
        <f t="shared" si="7"/>
        <v>Low</v>
      </c>
    </row>
    <row r="457" spans="1:17" x14ac:dyDescent="0.3">
      <c r="A457" t="s">
        <v>1372</v>
      </c>
      <c r="B457" t="s">
        <v>1373</v>
      </c>
      <c r="C457" t="s">
        <v>54</v>
      </c>
      <c r="D457" t="s">
        <v>49</v>
      </c>
      <c r="E457" t="s">
        <v>45</v>
      </c>
      <c r="F457" t="s">
        <v>1374</v>
      </c>
      <c r="G457" t="str">
        <f>TEXT(Table1_1[[#This Row],[Joining_Date]],"mmm")</f>
        <v>Mar</v>
      </c>
      <c r="H457" t="str">
        <f>TEXT(Table1_1[[#This Row],[Joining_Date]],"yyyy")</f>
        <v>2022</v>
      </c>
      <c r="I457" s="1">
        <v>44825</v>
      </c>
      <c r="J457" t="s">
        <v>18</v>
      </c>
      <c r="K457">
        <f>IF(Table1_1[[#This Row],[Status]]="Exited",1,0)</f>
        <v>1</v>
      </c>
      <c r="L457">
        <f>IF(Table1_1[[#This Row],[Status]]="Exited",0,1)</f>
        <v>0</v>
      </c>
      <c r="M457">
        <v>406565</v>
      </c>
      <c r="N457">
        <v>2.6</v>
      </c>
      <c r="O457" t="s">
        <v>30</v>
      </c>
      <c r="P457">
        <v>90.7</v>
      </c>
      <c r="Q457" t="str">
        <f t="shared" si="7"/>
        <v>Low</v>
      </c>
    </row>
    <row r="458" spans="1:17" x14ac:dyDescent="0.3">
      <c r="A458" t="s">
        <v>1375</v>
      </c>
      <c r="B458" t="s">
        <v>1376</v>
      </c>
      <c r="C458" t="s">
        <v>54</v>
      </c>
      <c r="D458" t="s">
        <v>15</v>
      </c>
      <c r="E458" t="s">
        <v>27</v>
      </c>
      <c r="F458" t="s">
        <v>677</v>
      </c>
      <c r="G458" t="str">
        <f>TEXT(Table1_1[[#This Row],[Joining_Date]],"mmm")</f>
        <v>Dec</v>
      </c>
      <c r="H458" t="str">
        <f>TEXT(Table1_1[[#This Row],[Joining_Date]],"yyyy")</f>
        <v>2024</v>
      </c>
      <c r="I458" s="1"/>
      <c r="J458" t="s">
        <v>29</v>
      </c>
      <c r="K458">
        <f>IF(Table1_1[[#This Row],[Status]]="Exited",1,0)</f>
        <v>0</v>
      </c>
      <c r="L458">
        <f>IF(Table1_1[[#This Row],[Status]]="Exited",0,1)</f>
        <v>1</v>
      </c>
      <c r="M458">
        <v>747179</v>
      </c>
      <c r="N458">
        <v>3.2</v>
      </c>
      <c r="O458" t="s">
        <v>30</v>
      </c>
      <c r="P458">
        <v>75.400000000000006</v>
      </c>
      <c r="Q458" t="str">
        <f t="shared" si="7"/>
        <v>Low</v>
      </c>
    </row>
    <row r="459" spans="1:17" x14ac:dyDescent="0.3">
      <c r="A459" t="s">
        <v>1377</v>
      </c>
      <c r="B459" t="s">
        <v>1378</v>
      </c>
      <c r="C459" t="s">
        <v>14</v>
      </c>
      <c r="D459" t="s">
        <v>49</v>
      </c>
      <c r="E459" t="s">
        <v>45</v>
      </c>
      <c r="F459" t="s">
        <v>1379</v>
      </c>
      <c r="G459" t="str">
        <f>TEXT(Table1_1[[#This Row],[Joining_Date]],"mmm")</f>
        <v>Jul</v>
      </c>
      <c r="H459" t="str">
        <f>TEXT(Table1_1[[#This Row],[Joining_Date]],"yyyy")</f>
        <v>2020</v>
      </c>
      <c r="I459" s="1">
        <v>44783</v>
      </c>
      <c r="J459" t="s">
        <v>18</v>
      </c>
      <c r="K459">
        <f>IF(Table1_1[[#This Row],[Status]]="Exited",1,0)</f>
        <v>1</v>
      </c>
      <c r="L459">
        <f>IF(Table1_1[[#This Row],[Status]]="Exited",0,1)</f>
        <v>0</v>
      </c>
      <c r="M459">
        <v>735224</v>
      </c>
      <c r="N459">
        <v>3.5</v>
      </c>
      <c r="O459" t="s">
        <v>24</v>
      </c>
      <c r="P459">
        <v>78.7</v>
      </c>
      <c r="Q459" t="str">
        <f t="shared" si="7"/>
        <v>Low</v>
      </c>
    </row>
    <row r="460" spans="1:17" x14ac:dyDescent="0.3">
      <c r="A460" t="s">
        <v>1380</v>
      </c>
      <c r="B460" t="s">
        <v>1381</v>
      </c>
      <c r="C460" t="s">
        <v>61</v>
      </c>
      <c r="D460" t="s">
        <v>10</v>
      </c>
      <c r="E460" t="s">
        <v>45</v>
      </c>
      <c r="F460" t="s">
        <v>1382</v>
      </c>
      <c r="G460" t="str">
        <f>TEXT(Table1_1[[#This Row],[Joining_Date]],"mmm")</f>
        <v>Jun</v>
      </c>
      <c r="H460" t="str">
        <f>TEXT(Table1_1[[#This Row],[Joining_Date]],"yyyy")</f>
        <v>2021</v>
      </c>
      <c r="I460" s="1">
        <v>44987</v>
      </c>
      <c r="J460" t="s">
        <v>18</v>
      </c>
      <c r="K460">
        <f>IF(Table1_1[[#This Row],[Status]]="Exited",1,0)</f>
        <v>1</v>
      </c>
      <c r="L460">
        <f>IF(Table1_1[[#This Row],[Status]]="Exited",0,1)</f>
        <v>0</v>
      </c>
      <c r="M460">
        <v>465072</v>
      </c>
      <c r="N460">
        <v>4.3</v>
      </c>
      <c r="O460" t="s">
        <v>19</v>
      </c>
      <c r="P460">
        <v>81</v>
      </c>
      <c r="Q460" t="str">
        <f t="shared" si="7"/>
        <v>High</v>
      </c>
    </row>
    <row r="461" spans="1:17" x14ac:dyDescent="0.3">
      <c r="A461" t="s">
        <v>1383</v>
      </c>
      <c r="B461" t="s">
        <v>1384</v>
      </c>
      <c r="C461" t="s">
        <v>37</v>
      </c>
      <c r="D461" t="s">
        <v>49</v>
      </c>
      <c r="E461" t="s">
        <v>45</v>
      </c>
      <c r="F461" t="s">
        <v>1385</v>
      </c>
      <c r="G461" t="str">
        <f>TEXT(Table1_1[[#This Row],[Joining_Date]],"mmm")</f>
        <v>Mar</v>
      </c>
      <c r="H461" t="str">
        <f>TEXT(Table1_1[[#This Row],[Joining_Date]],"yyyy")</f>
        <v>2018</v>
      </c>
      <c r="I461" s="1"/>
      <c r="J461" t="s">
        <v>29</v>
      </c>
      <c r="K461">
        <f>IF(Table1_1[[#This Row],[Status]]="Exited",1,0)</f>
        <v>0</v>
      </c>
      <c r="L461">
        <f>IF(Table1_1[[#This Row],[Status]]="Exited",0,1)</f>
        <v>1</v>
      </c>
      <c r="M461">
        <v>336498</v>
      </c>
      <c r="N461">
        <v>4.0999999999999996</v>
      </c>
      <c r="O461" t="s">
        <v>30</v>
      </c>
      <c r="P461">
        <v>100</v>
      </c>
      <c r="Q461" t="str">
        <f t="shared" si="7"/>
        <v>High</v>
      </c>
    </row>
    <row r="462" spans="1:17" x14ac:dyDescent="0.3">
      <c r="A462" t="s">
        <v>1386</v>
      </c>
      <c r="B462" t="s">
        <v>1387</v>
      </c>
      <c r="C462" t="s">
        <v>37</v>
      </c>
      <c r="D462" t="s">
        <v>10</v>
      </c>
      <c r="E462" t="s">
        <v>45</v>
      </c>
      <c r="F462" t="s">
        <v>1388</v>
      </c>
      <c r="G462" t="str">
        <f>TEXT(Table1_1[[#This Row],[Joining_Date]],"mmm")</f>
        <v>Aug</v>
      </c>
      <c r="H462" t="str">
        <f>TEXT(Table1_1[[#This Row],[Joining_Date]],"yyyy")</f>
        <v>2020</v>
      </c>
      <c r="I462" s="1"/>
      <c r="J462" t="s">
        <v>29</v>
      </c>
      <c r="K462">
        <f>IF(Table1_1[[#This Row],[Status]]="Exited",1,0)</f>
        <v>0</v>
      </c>
      <c r="L462">
        <f>IF(Table1_1[[#This Row],[Status]]="Exited",0,1)</f>
        <v>1</v>
      </c>
      <c r="M462">
        <v>826281</v>
      </c>
      <c r="N462">
        <v>4.3</v>
      </c>
      <c r="O462" t="s">
        <v>30</v>
      </c>
      <c r="P462">
        <v>91.2</v>
      </c>
      <c r="Q462" t="str">
        <f t="shared" si="7"/>
        <v>High</v>
      </c>
    </row>
    <row r="463" spans="1:17" x14ac:dyDescent="0.3">
      <c r="A463" t="s">
        <v>1389</v>
      </c>
      <c r="B463" t="s">
        <v>1390</v>
      </c>
      <c r="C463" t="s">
        <v>14</v>
      </c>
      <c r="D463" t="s">
        <v>10</v>
      </c>
      <c r="E463" t="s">
        <v>16</v>
      </c>
      <c r="F463" t="s">
        <v>958</v>
      </c>
      <c r="G463" t="str">
        <f>TEXT(Table1_1[[#This Row],[Joining_Date]],"mmm")</f>
        <v>Dec</v>
      </c>
      <c r="H463" t="str">
        <f>TEXT(Table1_1[[#This Row],[Joining_Date]],"yyyy")</f>
        <v>2022</v>
      </c>
      <c r="I463" s="1">
        <v>45983</v>
      </c>
      <c r="J463" t="s">
        <v>18</v>
      </c>
      <c r="K463">
        <f>IF(Table1_1[[#This Row],[Status]]="Exited",1,0)</f>
        <v>1</v>
      </c>
      <c r="L463">
        <f>IF(Table1_1[[#This Row],[Status]]="Exited",0,1)</f>
        <v>0</v>
      </c>
      <c r="M463">
        <v>692556</v>
      </c>
      <c r="N463">
        <v>4.5999999999999996</v>
      </c>
      <c r="O463" t="s">
        <v>30</v>
      </c>
      <c r="P463">
        <v>79.5</v>
      </c>
      <c r="Q463" t="str">
        <f t="shared" si="7"/>
        <v>High</v>
      </c>
    </row>
    <row r="464" spans="1:17" x14ac:dyDescent="0.3">
      <c r="A464" t="s">
        <v>1391</v>
      </c>
      <c r="B464" t="s">
        <v>1392</v>
      </c>
      <c r="C464" t="s">
        <v>61</v>
      </c>
      <c r="D464" t="s">
        <v>33</v>
      </c>
      <c r="E464" t="s">
        <v>16</v>
      </c>
      <c r="F464" t="s">
        <v>431</v>
      </c>
      <c r="G464" t="str">
        <f>TEXT(Table1_1[[#This Row],[Joining_Date]],"mmm")</f>
        <v>Jul</v>
      </c>
      <c r="H464" t="str">
        <f>TEXT(Table1_1[[#This Row],[Joining_Date]],"yyyy")</f>
        <v>2020</v>
      </c>
      <c r="I464" s="1"/>
      <c r="J464" t="s">
        <v>29</v>
      </c>
      <c r="K464">
        <f>IF(Table1_1[[#This Row],[Status]]="Exited",1,0)</f>
        <v>0</v>
      </c>
      <c r="L464">
        <f>IF(Table1_1[[#This Row],[Status]]="Exited",0,1)</f>
        <v>1</v>
      </c>
      <c r="M464">
        <v>509423</v>
      </c>
      <c r="N464">
        <v>2.2000000000000002</v>
      </c>
      <c r="O464" t="s">
        <v>42</v>
      </c>
      <c r="P464">
        <v>89.6</v>
      </c>
      <c r="Q464" t="str">
        <f t="shared" si="7"/>
        <v>Low</v>
      </c>
    </row>
    <row r="465" spans="1:17" x14ac:dyDescent="0.3">
      <c r="A465" t="s">
        <v>1393</v>
      </c>
      <c r="B465" t="s">
        <v>1394</v>
      </c>
      <c r="C465" t="s">
        <v>61</v>
      </c>
      <c r="D465" t="s">
        <v>10</v>
      </c>
      <c r="E465" t="s">
        <v>16</v>
      </c>
      <c r="F465" t="s">
        <v>703</v>
      </c>
      <c r="G465" t="str">
        <f>TEXT(Table1_1[[#This Row],[Joining_Date]],"mmm")</f>
        <v>Feb</v>
      </c>
      <c r="H465" t="str">
        <f>TEXT(Table1_1[[#This Row],[Joining_Date]],"yyyy")</f>
        <v>2020</v>
      </c>
      <c r="I465" s="1">
        <v>45089</v>
      </c>
      <c r="J465" t="s">
        <v>18</v>
      </c>
      <c r="K465">
        <f>IF(Table1_1[[#This Row],[Status]]="Exited",1,0)</f>
        <v>1</v>
      </c>
      <c r="L465">
        <f>IF(Table1_1[[#This Row],[Status]]="Exited",0,1)</f>
        <v>0</v>
      </c>
      <c r="M465">
        <v>295572</v>
      </c>
      <c r="N465">
        <v>4.4000000000000004</v>
      </c>
      <c r="O465" t="s">
        <v>19</v>
      </c>
      <c r="P465">
        <v>81</v>
      </c>
      <c r="Q465" t="str">
        <f t="shared" si="7"/>
        <v>High</v>
      </c>
    </row>
    <row r="466" spans="1:17" x14ac:dyDescent="0.3">
      <c r="A466" t="s">
        <v>1395</v>
      </c>
      <c r="B466" t="s">
        <v>1396</v>
      </c>
      <c r="C466" t="s">
        <v>37</v>
      </c>
      <c r="D466" t="s">
        <v>10</v>
      </c>
      <c r="E466" t="s">
        <v>16</v>
      </c>
      <c r="F466" t="s">
        <v>1397</v>
      </c>
      <c r="G466" t="str">
        <f>TEXT(Table1_1[[#This Row],[Joining_Date]],"mmm")</f>
        <v>Jun</v>
      </c>
      <c r="H466" t="str">
        <f>TEXT(Table1_1[[#This Row],[Joining_Date]],"yyyy")</f>
        <v>2024</v>
      </c>
      <c r="I466" s="1">
        <v>45903</v>
      </c>
      <c r="J466" t="s">
        <v>18</v>
      </c>
      <c r="K466">
        <f>IF(Table1_1[[#This Row],[Status]]="Exited",1,0)</f>
        <v>1</v>
      </c>
      <c r="L466">
        <f>IF(Table1_1[[#This Row],[Status]]="Exited",0,1)</f>
        <v>0</v>
      </c>
      <c r="M466">
        <v>1179131</v>
      </c>
      <c r="N466">
        <v>4.2</v>
      </c>
      <c r="O466" t="s">
        <v>42</v>
      </c>
      <c r="P466">
        <v>88.4</v>
      </c>
      <c r="Q466" t="str">
        <f t="shared" si="7"/>
        <v>High</v>
      </c>
    </row>
    <row r="467" spans="1:17" x14ac:dyDescent="0.3">
      <c r="A467" t="s">
        <v>1398</v>
      </c>
      <c r="B467" t="s">
        <v>1399</v>
      </c>
      <c r="C467" t="s">
        <v>54</v>
      </c>
      <c r="D467" t="s">
        <v>49</v>
      </c>
      <c r="E467" t="s">
        <v>16</v>
      </c>
      <c r="F467" t="s">
        <v>411</v>
      </c>
      <c r="G467" t="str">
        <f>TEXT(Table1_1[[#This Row],[Joining_Date]],"mmm")</f>
        <v>Dec</v>
      </c>
      <c r="H467" t="str">
        <f>TEXT(Table1_1[[#This Row],[Joining_Date]],"yyyy")</f>
        <v>2020</v>
      </c>
      <c r="I467" s="1">
        <v>45614</v>
      </c>
      <c r="J467" t="s">
        <v>18</v>
      </c>
      <c r="K467">
        <f>IF(Table1_1[[#This Row],[Status]]="Exited",1,0)</f>
        <v>1</v>
      </c>
      <c r="L467">
        <f>IF(Table1_1[[#This Row],[Status]]="Exited",0,1)</f>
        <v>0</v>
      </c>
      <c r="M467">
        <v>429648</v>
      </c>
      <c r="N467">
        <v>3</v>
      </c>
      <c r="O467" t="s">
        <v>30</v>
      </c>
      <c r="P467">
        <v>95.1</v>
      </c>
      <c r="Q467" t="str">
        <f t="shared" si="7"/>
        <v>Low</v>
      </c>
    </row>
    <row r="468" spans="1:17" x14ac:dyDescent="0.3">
      <c r="A468" t="s">
        <v>1400</v>
      </c>
      <c r="B468" t="s">
        <v>1401</v>
      </c>
      <c r="C468" t="s">
        <v>54</v>
      </c>
      <c r="D468" t="s">
        <v>33</v>
      </c>
      <c r="E468" t="s">
        <v>16</v>
      </c>
      <c r="F468" t="s">
        <v>1402</v>
      </c>
      <c r="G468" t="str">
        <f>TEXT(Table1_1[[#This Row],[Joining_Date]],"mmm")</f>
        <v>Mar</v>
      </c>
      <c r="H468" t="str">
        <f>TEXT(Table1_1[[#This Row],[Joining_Date]],"yyyy")</f>
        <v>2022</v>
      </c>
      <c r="I468" s="1"/>
      <c r="J468" t="s">
        <v>29</v>
      </c>
      <c r="K468">
        <f>IF(Table1_1[[#This Row],[Status]]="Exited",1,0)</f>
        <v>0</v>
      </c>
      <c r="L468">
        <f>IF(Table1_1[[#This Row],[Status]]="Exited",0,1)</f>
        <v>1</v>
      </c>
      <c r="M468">
        <v>533598</v>
      </c>
      <c r="N468">
        <v>4.3</v>
      </c>
      <c r="O468" t="s">
        <v>19</v>
      </c>
      <c r="P468">
        <v>81.7</v>
      </c>
      <c r="Q468" t="str">
        <f t="shared" si="7"/>
        <v>High</v>
      </c>
    </row>
    <row r="469" spans="1:17" x14ac:dyDescent="0.3">
      <c r="A469" t="s">
        <v>1403</v>
      </c>
      <c r="B469" t="s">
        <v>1404</v>
      </c>
      <c r="C469" t="s">
        <v>61</v>
      </c>
      <c r="D469" t="s">
        <v>33</v>
      </c>
      <c r="E469" t="s">
        <v>45</v>
      </c>
      <c r="F469" t="s">
        <v>754</v>
      </c>
      <c r="G469" t="str">
        <f>TEXT(Table1_1[[#This Row],[Joining_Date]],"mmm")</f>
        <v>Sep</v>
      </c>
      <c r="H469" t="str">
        <f>TEXT(Table1_1[[#This Row],[Joining_Date]],"yyyy")</f>
        <v>2021</v>
      </c>
      <c r="I469" s="1"/>
      <c r="J469" t="s">
        <v>29</v>
      </c>
      <c r="K469">
        <f>IF(Table1_1[[#This Row],[Status]]="Exited",1,0)</f>
        <v>0</v>
      </c>
      <c r="L469">
        <f>IF(Table1_1[[#This Row],[Status]]="Exited",0,1)</f>
        <v>1</v>
      </c>
      <c r="M469">
        <v>1132525</v>
      </c>
      <c r="N469">
        <v>2.7</v>
      </c>
      <c r="O469" t="s">
        <v>30</v>
      </c>
      <c r="P469">
        <v>76.8</v>
      </c>
      <c r="Q469" t="str">
        <f t="shared" si="7"/>
        <v>Low</v>
      </c>
    </row>
    <row r="470" spans="1:17" x14ac:dyDescent="0.3">
      <c r="A470" t="s">
        <v>1405</v>
      </c>
      <c r="B470" t="s">
        <v>1406</v>
      </c>
      <c r="C470" t="s">
        <v>61</v>
      </c>
      <c r="D470" t="s">
        <v>49</v>
      </c>
      <c r="E470" t="s">
        <v>16</v>
      </c>
      <c r="F470" t="s">
        <v>951</v>
      </c>
      <c r="G470" t="str">
        <f>TEXT(Table1_1[[#This Row],[Joining_Date]],"mmm")</f>
        <v>Jul</v>
      </c>
      <c r="H470" t="str">
        <f>TEXT(Table1_1[[#This Row],[Joining_Date]],"yyyy")</f>
        <v>2019</v>
      </c>
      <c r="I470" s="1"/>
      <c r="J470" t="s">
        <v>29</v>
      </c>
      <c r="K470">
        <f>IF(Table1_1[[#This Row],[Status]]="Exited",1,0)</f>
        <v>0</v>
      </c>
      <c r="L470">
        <f>IF(Table1_1[[#This Row],[Status]]="Exited",0,1)</f>
        <v>1</v>
      </c>
      <c r="M470">
        <v>562541</v>
      </c>
      <c r="N470">
        <v>3.4</v>
      </c>
      <c r="O470" t="s">
        <v>24</v>
      </c>
      <c r="P470">
        <v>84.5</v>
      </c>
      <c r="Q470" t="str">
        <f t="shared" si="7"/>
        <v>Low</v>
      </c>
    </row>
    <row r="471" spans="1:17" x14ac:dyDescent="0.3">
      <c r="A471" t="s">
        <v>1407</v>
      </c>
      <c r="B471" t="s">
        <v>1408</v>
      </c>
      <c r="C471" t="s">
        <v>14</v>
      </c>
      <c r="D471" t="s">
        <v>49</v>
      </c>
      <c r="E471" t="s">
        <v>45</v>
      </c>
      <c r="F471" t="s">
        <v>1409</v>
      </c>
      <c r="G471" t="str">
        <f>TEXT(Table1_1[[#This Row],[Joining_Date]],"mmm")</f>
        <v>May</v>
      </c>
      <c r="H471" t="str">
        <f>TEXT(Table1_1[[#This Row],[Joining_Date]],"yyyy")</f>
        <v>2024</v>
      </c>
      <c r="I471" s="1"/>
      <c r="J471" t="s">
        <v>29</v>
      </c>
      <c r="K471">
        <f>IF(Table1_1[[#This Row],[Status]]="Exited",1,0)</f>
        <v>0</v>
      </c>
      <c r="L471">
        <f>IF(Table1_1[[#This Row],[Status]]="Exited",0,1)</f>
        <v>1</v>
      </c>
      <c r="M471">
        <v>773807</v>
      </c>
      <c r="N471">
        <v>2.5</v>
      </c>
      <c r="O471" t="s">
        <v>24</v>
      </c>
      <c r="P471">
        <v>89.2</v>
      </c>
      <c r="Q471" t="str">
        <f t="shared" si="7"/>
        <v>Low</v>
      </c>
    </row>
    <row r="472" spans="1:17" x14ac:dyDescent="0.3">
      <c r="A472" t="s">
        <v>1410</v>
      </c>
      <c r="B472" t="s">
        <v>1411</v>
      </c>
      <c r="C472" t="s">
        <v>22</v>
      </c>
      <c r="D472" t="s">
        <v>15</v>
      </c>
      <c r="E472" t="s">
        <v>45</v>
      </c>
      <c r="F472" t="s">
        <v>90</v>
      </c>
      <c r="G472" t="str">
        <f>TEXT(Table1_1[[#This Row],[Joining_Date]],"mmm")</f>
        <v>Apr</v>
      </c>
      <c r="H472" t="str">
        <f>TEXT(Table1_1[[#This Row],[Joining_Date]],"yyyy")</f>
        <v>2022</v>
      </c>
      <c r="I472" s="1">
        <v>45456</v>
      </c>
      <c r="J472" t="s">
        <v>18</v>
      </c>
      <c r="K472">
        <f>IF(Table1_1[[#This Row],[Status]]="Exited",1,0)</f>
        <v>1</v>
      </c>
      <c r="L472">
        <f>IF(Table1_1[[#This Row],[Status]]="Exited",0,1)</f>
        <v>0</v>
      </c>
      <c r="M472">
        <v>1082191</v>
      </c>
      <c r="N472">
        <v>4.5</v>
      </c>
      <c r="O472" t="s">
        <v>42</v>
      </c>
      <c r="P472">
        <v>95.9</v>
      </c>
      <c r="Q472" t="str">
        <f t="shared" si="7"/>
        <v>High</v>
      </c>
    </row>
    <row r="473" spans="1:17" x14ac:dyDescent="0.3">
      <c r="A473" t="s">
        <v>1412</v>
      </c>
      <c r="B473" t="s">
        <v>1413</v>
      </c>
      <c r="C473" t="s">
        <v>37</v>
      </c>
      <c r="D473" t="s">
        <v>10</v>
      </c>
      <c r="E473" t="s">
        <v>27</v>
      </c>
      <c r="F473" t="s">
        <v>1239</v>
      </c>
      <c r="G473" t="str">
        <f>TEXT(Table1_1[[#This Row],[Joining_Date]],"mmm")</f>
        <v>Feb</v>
      </c>
      <c r="H473" t="str">
        <f>TEXT(Table1_1[[#This Row],[Joining_Date]],"yyyy")</f>
        <v>2018</v>
      </c>
      <c r="I473" s="1">
        <v>43253</v>
      </c>
      <c r="J473" t="s">
        <v>18</v>
      </c>
      <c r="K473">
        <f>IF(Table1_1[[#This Row],[Status]]="Exited",1,0)</f>
        <v>1</v>
      </c>
      <c r="L473">
        <f>IF(Table1_1[[#This Row],[Status]]="Exited",0,1)</f>
        <v>0</v>
      </c>
      <c r="M473">
        <v>398061</v>
      </c>
      <c r="N473">
        <v>3.9</v>
      </c>
      <c r="O473" t="s">
        <v>19</v>
      </c>
      <c r="P473">
        <v>77.2</v>
      </c>
      <c r="Q473" t="str">
        <f t="shared" si="7"/>
        <v>Low</v>
      </c>
    </row>
    <row r="474" spans="1:17" x14ac:dyDescent="0.3">
      <c r="A474" t="s">
        <v>1414</v>
      </c>
      <c r="B474" t="s">
        <v>1415</v>
      </c>
      <c r="C474" t="s">
        <v>54</v>
      </c>
      <c r="D474" t="s">
        <v>15</v>
      </c>
      <c r="E474" t="s">
        <v>16</v>
      </c>
      <c r="F474" t="s">
        <v>853</v>
      </c>
      <c r="G474" t="str">
        <f>TEXT(Table1_1[[#This Row],[Joining_Date]],"mmm")</f>
        <v>May</v>
      </c>
      <c r="H474" t="str">
        <f>TEXT(Table1_1[[#This Row],[Joining_Date]],"yyyy")</f>
        <v>2021</v>
      </c>
      <c r="I474" s="1">
        <v>44633</v>
      </c>
      <c r="J474" t="s">
        <v>18</v>
      </c>
      <c r="K474">
        <f>IF(Table1_1[[#This Row],[Status]]="Exited",1,0)</f>
        <v>1</v>
      </c>
      <c r="L474">
        <f>IF(Table1_1[[#This Row],[Status]]="Exited",0,1)</f>
        <v>0</v>
      </c>
      <c r="M474">
        <v>1037195</v>
      </c>
      <c r="N474">
        <v>4.2</v>
      </c>
      <c r="O474" t="s">
        <v>42</v>
      </c>
      <c r="P474">
        <v>75.3</v>
      </c>
      <c r="Q474" t="str">
        <f t="shared" si="7"/>
        <v>High</v>
      </c>
    </row>
    <row r="475" spans="1:17" x14ac:dyDescent="0.3">
      <c r="A475" t="s">
        <v>1416</v>
      </c>
      <c r="B475" t="s">
        <v>1417</v>
      </c>
      <c r="C475" t="s">
        <v>61</v>
      </c>
      <c r="D475" t="s">
        <v>10</v>
      </c>
      <c r="E475" t="s">
        <v>50</v>
      </c>
      <c r="F475" t="s">
        <v>1418</v>
      </c>
      <c r="G475" t="str">
        <f>TEXT(Table1_1[[#This Row],[Joining_Date]],"mmm")</f>
        <v>Nov</v>
      </c>
      <c r="H475" t="str">
        <f>TEXT(Table1_1[[#This Row],[Joining_Date]],"yyyy")</f>
        <v>2023</v>
      </c>
      <c r="I475" s="1"/>
      <c r="J475" t="s">
        <v>29</v>
      </c>
      <c r="K475">
        <f>IF(Table1_1[[#This Row],[Status]]="Exited",1,0)</f>
        <v>0</v>
      </c>
      <c r="L475">
        <f>IF(Table1_1[[#This Row],[Status]]="Exited",0,1)</f>
        <v>1</v>
      </c>
      <c r="M475">
        <v>554891</v>
      </c>
      <c r="N475">
        <v>3.8</v>
      </c>
      <c r="O475" t="s">
        <v>30</v>
      </c>
      <c r="P475">
        <v>88.1</v>
      </c>
      <c r="Q475" t="str">
        <f t="shared" si="7"/>
        <v>Low</v>
      </c>
    </row>
    <row r="476" spans="1:17" x14ac:dyDescent="0.3">
      <c r="A476" t="s">
        <v>1419</v>
      </c>
      <c r="B476" t="s">
        <v>1420</v>
      </c>
      <c r="C476" t="s">
        <v>54</v>
      </c>
      <c r="D476" t="s">
        <v>10</v>
      </c>
      <c r="E476" t="s">
        <v>16</v>
      </c>
      <c r="F476" t="s">
        <v>372</v>
      </c>
      <c r="G476" t="str">
        <f>TEXT(Table1_1[[#This Row],[Joining_Date]],"mmm")</f>
        <v>Feb</v>
      </c>
      <c r="H476" t="str">
        <f>TEXT(Table1_1[[#This Row],[Joining_Date]],"yyyy")</f>
        <v>2024</v>
      </c>
      <c r="I476" s="1">
        <v>45853</v>
      </c>
      <c r="J476" t="s">
        <v>18</v>
      </c>
      <c r="K476">
        <f>IF(Table1_1[[#This Row],[Status]]="Exited",1,0)</f>
        <v>1</v>
      </c>
      <c r="L476">
        <f>IF(Table1_1[[#This Row],[Status]]="Exited",0,1)</f>
        <v>0</v>
      </c>
      <c r="M476">
        <v>519323</v>
      </c>
      <c r="N476">
        <v>2.2000000000000002</v>
      </c>
      <c r="O476" t="s">
        <v>24</v>
      </c>
      <c r="P476">
        <v>84.9</v>
      </c>
      <c r="Q476" t="str">
        <f t="shared" si="7"/>
        <v>Low</v>
      </c>
    </row>
    <row r="477" spans="1:17" x14ac:dyDescent="0.3">
      <c r="A477" t="s">
        <v>1421</v>
      </c>
      <c r="B477" t="s">
        <v>1422</v>
      </c>
      <c r="C477" t="s">
        <v>22</v>
      </c>
      <c r="D477" t="s">
        <v>15</v>
      </c>
      <c r="E477" t="s">
        <v>27</v>
      </c>
      <c r="F477" t="s">
        <v>947</v>
      </c>
      <c r="G477" t="str">
        <f>TEXT(Table1_1[[#This Row],[Joining_Date]],"mmm")</f>
        <v>Feb</v>
      </c>
      <c r="H477" t="str">
        <f>TEXT(Table1_1[[#This Row],[Joining_Date]],"yyyy")</f>
        <v>2023</v>
      </c>
      <c r="I477" s="1"/>
      <c r="J477" t="s">
        <v>29</v>
      </c>
      <c r="K477">
        <f>IF(Table1_1[[#This Row],[Status]]="Exited",1,0)</f>
        <v>0</v>
      </c>
      <c r="L477">
        <f>IF(Table1_1[[#This Row],[Status]]="Exited",0,1)</f>
        <v>1</v>
      </c>
      <c r="M477">
        <v>688351</v>
      </c>
      <c r="N477">
        <v>3.6</v>
      </c>
      <c r="O477" t="s">
        <v>19</v>
      </c>
      <c r="P477">
        <v>97.4</v>
      </c>
      <c r="Q477" t="str">
        <f t="shared" si="7"/>
        <v>Low</v>
      </c>
    </row>
    <row r="478" spans="1:17" x14ac:dyDescent="0.3">
      <c r="A478" t="s">
        <v>1423</v>
      </c>
      <c r="B478" t="s">
        <v>1424</v>
      </c>
      <c r="C478" t="s">
        <v>61</v>
      </c>
      <c r="D478" t="s">
        <v>15</v>
      </c>
      <c r="E478" t="s">
        <v>45</v>
      </c>
      <c r="F478" t="s">
        <v>68</v>
      </c>
      <c r="G478" t="str">
        <f>TEXT(Table1_1[[#This Row],[Joining_Date]],"mmm")</f>
        <v>Mar</v>
      </c>
      <c r="H478" t="str">
        <f>TEXT(Table1_1[[#This Row],[Joining_Date]],"yyyy")</f>
        <v>2019</v>
      </c>
      <c r="I478" s="1">
        <v>44963</v>
      </c>
      <c r="J478" t="s">
        <v>18</v>
      </c>
      <c r="K478">
        <f>IF(Table1_1[[#This Row],[Status]]="Exited",1,0)</f>
        <v>1</v>
      </c>
      <c r="L478">
        <f>IF(Table1_1[[#This Row],[Status]]="Exited",0,1)</f>
        <v>0</v>
      </c>
      <c r="M478">
        <v>964046</v>
      </c>
      <c r="N478">
        <v>4.4000000000000004</v>
      </c>
      <c r="O478" t="s">
        <v>19</v>
      </c>
      <c r="P478">
        <v>82.8</v>
      </c>
      <c r="Q478" t="str">
        <f t="shared" si="7"/>
        <v>High</v>
      </c>
    </row>
    <row r="479" spans="1:17" x14ac:dyDescent="0.3">
      <c r="A479" t="s">
        <v>1425</v>
      </c>
      <c r="B479" t="s">
        <v>1426</v>
      </c>
      <c r="C479" t="s">
        <v>54</v>
      </c>
      <c r="D479" t="s">
        <v>49</v>
      </c>
      <c r="E479" t="s">
        <v>16</v>
      </c>
      <c r="F479" t="s">
        <v>1427</v>
      </c>
      <c r="G479" t="str">
        <f>TEXT(Table1_1[[#This Row],[Joining_Date]],"mmm")</f>
        <v>Feb</v>
      </c>
      <c r="H479" t="str">
        <f>TEXT(Table1_1[[#This Row],[Joining_Date]],"yyyy")</f>
        <v>2018</v>
      </c>
      <c r="I479" s="1"/>
      <c r="J479" t="s">
        <v>29</v>
      </c>
      <c r="K479">
        <f>IF(Table1_1[[#This Row],[Status]]="Exited",1,0)</f>
        <v>0</v>
      </c>
      <c r="L479">
        <f>IF(Table1_1[[#This Row],[Status]]="Exited",0,1)</f>
        <v>1</v>
      </c>
      <c r="M479">
        <v>687036</v>
      </c>
      <c r="N479">
        <v>3.6</v>
      </c>
      <c r="O479" t="s">
        <v>19</v>
      </c>
      <c r="P479">
        <v>99.8</v>
      </c>
      <c r="Q479" t="str">
        <f t="shared" si="7"/>
        <v>Low</v>
      </c>
    </row>
    <row r="480" spans="1:17" x14ac:dyDescent="0.3">
      <c r="A480" t="s">
        <v>1428</v>
      </c>
      <c r="B480" t="s">
        <v>1429</v>
      </c>
      <c r="C480" t="s">
        <v>54</v>
      </c>
      <c r="D480" t="s">
        <v>33</v>
      </c>
      <c r="E480" t="s">
        <v>50</v>
      </c>
      <c r="F480" t="s">
        <v>1180</v>
      </c>
      <c r="G480" t="str">
        <f>TEXT(Table1_1[[#This Row],[Joining_Date]],"mmm")</f>
        <v>Mar</v>
      </c>
      <c r="H480" t="str">
        <f>TEXT(Table1_1[[#This Row],[Joining_Date]],"yyyy")</f>
        <v>2021</v>
      </c>
      <c r="I480" s="1">
        <v>45295</v>
      </c>
      <c r="J480" t="s">
        <v>18</v>
      </c>
      <c r="K480">
        <f>IF(Table1_1[[#This Row],[Status]]="Exited",1,0)</f>
        <v>1</v>
      </c>
      <c r="L480">
        <f>IF(Table1_1[[#This Row],[Status]]="Exited",0,1)</f>
        <v>0</v>
      </c>
      <c r="M480">
        <v>251919</v>
      </c>
      <c r="N480">
        <v>2.5</v>
      </c>
      <c r="O480" t="s">
        <v>19</v>
      </c>
      <c r="P480">
        <v>85.7</v>
      </c>
      <c r="Q480" t="str">
        <f t="shared" si="7"/>
        <v>Low</v>
      </c>
    </row>
    <row r="481" spans="1:17" x14ac:dyDescent="0.3">
      <c r="A481" t="s">
        <v>1430</v>
      </c>
      <c r="B481" t="s">
        <v>1431</v>
      </c>
      <c r="C481" t="s">
        <v>14</v>
      </c>
      <c r="D481" t="s">
        <v>10</v>
      </c>
      <c r="E481" t="s">
        <v>27</v>
      </c>
      <c r="F481" t="s">
        <v>1432</v>
      </c>
      <c r="G481" t="str">
        <f>TEXT(Table1_1[[#This Row],[Joining_Date]],"mmm")</f>
        <v>Feb</v>
      </c>
      <c r="H481" t="str">
        <f>TEXT(Table1_1[[#This Row],[Joining_Date]],"yyyy")</f>
        <v>2019</v>
      </c>
      <c r="I481" s="1"/>
      <c r="J481" t="s">
        <v>29</v>
      </c>
      <c r="K481">
        <f>IF(Table1_1[[#This Row],[Status]]="Exited",1,0)</f>
        <v>0</v>
      </c>
      <c r="L481">
        <f>IF(Table1_1[[#This Row],[Status]]="Exited",0,1)</f>
        <v>1</v>
      </c>
      <c r="M481">
        <v>805319</v>
      </c>
      <c r="N481">
        <v>2.1</v>
      </c>
      <c r="O481" t="s">
        <v>24</v>
      </c>
      <c r="P481">
        <v>86.3</v>
      </c>
      <c r="Q481" t="str">
        <f t="shared" si="7"/>
        <v>Low</v>
      </c>
    </row>
    <row r="482" spans="1:17" x14ac:dyDescent="0.3">
      <c r="A482" t="s">
        <v>1433</v>
      </c>
      <c r="B482" t="s">
        <v>1434</v>
      </c>
      <c r="C482" t="s">
        <v>37</v>
      </c>
      <c r="D482" t="s">
        <v>33</v>
      </c>
      <c r="E482" t="s">
        <v>16</v>
      </c>
      <c r="F482" t="s">
        <v>1435</v>
      </c>
      <c r="G482" t="str">
        <f>TEXT(Table1_1[[#This Row],[Joining_Date]],"mmm")</f>
        <v>Apr</v>
      </c>
      <c r="H482" t="str">
        <f>TEXT(Table1_1[[#This Row],[Joining_Date]],"yyyy")</f>
        <v>2018</v>
      </c>
      <c r="I482" s="1">
        <v>43637</v>
      </c>
      <c r="J482" t="s">
        <v>18</v>
      </c>
      <c r="K482">
        <f>IF(Table1_1[[#This Row],[Status]]="Exited",1,0)</f>
        <v>1</v>
      </c>
      <c r="L482">
        <f>IF(Table1_1[[#This Row],[Status]]="Exited",0,1)</f>
        <v>0</v>
      </c>
      <c r="M482">
        <v>467638</v>
      </c>
      <c r="N482">
        <v>2.1</v>
      </c>
      <c r="O482" t="s">
        <v>24</v>
      </c>
      <c r="P482">
        <v>88.2</v>
      </c>
      <c r="Q482" t="str">
        <f t="shared" si="7"/>
        <v>Low</v>
      </c>
    </row>
    <row r="483" spans="1:17" x14ac:dyDescent="0.3">
      <c r="A483" t="s">
        <v>1436</v>
      </c>
      <c r="B483" t="s">
        <v>1437</v>
      </c>
      <c r="C483" t="s">
        <v>54</v>
      </c>
      <c r="D483" t="s">
        <v>15</v>
      </c>
      <c r="E483" t="s">
        <v>27</v>
      </c>
      <c r="F483" t="s">
        <v>1438</v>
      </c>
      <c r="G483" t="str">
        <f>TEXT(Table1_1[[#This Row],[Joining_Date]],"mmm")</f>
        <v>Apr</v>
      </c>
      <c r="H483" t="str">
        <f>TEXT(Table1_1[[#This Row],[Joining_Date]],"yyyy")</f>
        <v>2024</v>
      </c>
      <c r="I483" s="1"/>
      <c r="J483" t="s">
        <v>29</v>
      </c>
      <c r="K483">
        <f>IF(Table1_1[[#This Row],[Status]]="Exited",1,0)</f>
        <v>0</v>
      </c>
      <c r="L483">
        <f>IF(Table1_1[[#This Row],[Status]]="Exited",0,1)</f>
        <v>1</v>
      </c>
      <c r="M483">
        <v>1076188</v>
      </c>
      <c r="N483">
        <v>4.5</v>
      </c>
      <c r="O483" t="s">
        <v>30</v>
      </c>
      <c r="P483">
        <v>75.400000000000006</v>
      </c>
      <c r="Q483" t="str">
        <f t="shared" si="7"/>
        <v>High</v>
      </c>
    </row>
    <row r="484" spans="1:17" x14ac:dyDescent="0.3">
      <c r="A484" t="s">
        <v>1439</v>
      </c>
      <c r="B484" t="s">
        <v>1440</v>
      </c>
      <c r="C484" t="s">
        <v>54</v>
      </c>
      <c r="D484" t="s">
        <v>15</v>
      </c>
      <c r="E484" t="s">
        <v>27</v>
      </c>
      <c r="F484" t="s">
        <v>1441</v>
      </c>
      <c r="G484" t="str">
        <f>TEXT(Table1_1[[#This Row],[Joining_Date]],"mmm")</f>
        <v>Nov</v>
      </c>
      <c r="H484" t="str">
        <f>TEXT(Table1_1[[#This Row],[Joining_Date]],"yyyy")</f>
        <v>2020</v>
      </c>
      <c r="I484" s="1"/>
      <c r="J484" t="s">
        <v>29</v>
      </c>
      <c r="K484">
        <f>IF(Table1_1[[#This Row],[Status]]="Exited",1,0)</f>
        <v>0</v>
      </c>
      <c r="L484">
        <f>IF(Table1_1[[#This Row],[Status]]="Exited",0,1)</f>
        <v>1</v>
      </c>
      <c r="M484">
        <v>608981</v>
      </c>
      <c r="N484">
        <v>2.7</v>
      </c>
      <c r="O484" t="s">
        <v>24</v>
      </c>
      <c r="P484">
        <v>76.099999999999994</v>
      </c>
      <c r="Q484" t="str">
        <f t="shared" si="7"/>
        <v>Low</v>
      </c>
    </row>
    <row r="485" spans="1:17" x14ac:dyDescent="0.3">
      <c r="A485" t="s">
        <v>1442</v>
      </c>
      <c r="B485" t="s">
        <v>1443</v>
      </c>
      <c r="C485" t="s">
        <v>14</v>
      </c>
      <c r="D485" t="s">
        <v>10</v>
      </c>
      <c r="E485" t="s">
        <v>16</v>
      </c>
      <c r="F485" t="s">
        <v>1444</v>
      </c>
      <c r="G485" t="str">
        <f>TEXT(Table1_1[[#This Row],[Joining_Date]],"mmm")</f>
        <v>Feb</v>
      </c>
      <c r="H485" t="str">
        <f>TEXT(Table1_1[[#This Row],[Joining_Date]],"yyyy")</f>
        <v>2023</v>
      </c>
      <c r="I485" s="1"/>
      <c r="J485" t="s">
        <v>29</v>
      </c>
      <c r="K485">
        <f>IF(Table1_1[[#This Row],[Status]]="Exited",1,0)</f>
        <v>0</v>
      </c>
      <c r="L485">
        <f>IF(Table1_1[[#This Row],[Status]]="Exited",0,1)</f>
        <v>1</v>
      </c>
      <c r="M485">
        <v>642005</v>
      </c>
      <c r="N485">
        <v>3.8</v>
      </c>
      <c r="O485" t="s">
        <v>19</v>
      </c>
      <c r="P485">
        <v>89.5</v>
      </c>
      <c r="Q485" t="str">
        <f t="shared" si="7"/>
        <v>Low</v>
      </c>
    </row>
    <row r="486" spans="1:17" x14ac:dyDescent="0.3">
      <c r="A486" t="s">
        <v>1445</v>
      </c>
      <c r="B486" t="s">
        <v>1446</v>
      </c>
      <c r="C486" t="s">
        <v>22</v>
      </c>
      <c r="D486" t="s">
        <v>33</v>
      </c>
      <c r="E486" t="s">
        <v>50</v>
      </c>
      <c r="F486" t="s">
        <v>1447</v>
      </c>
      <c r="G486" t="str">
        <f>TEXT(Table1_1[[#This Row],[Joining_Date]],"mmm")</f>
        <v>Aug</v>
      </c>
      <c r="H486" t="str">
        <f>TEXT(Table1_1[[#This Row],[Joining_Date]],"yyyy")</f>
        <v>2021</v>
      </c>
      <c r="I486" s="1"/>
      <c r="J486" t="s">
        <v>29</v>
      </c>
      <c r="K486">
        <f>IF(Table1_1[[#This Row],[Status]]="Exited",1,0)</f>
        <v>0</v>
      </c>
      <c r="L486">
        <f>IF(Table1_1[[#This Row],[Status]]="Exited",0,1)</f>
        <v>1</v>
      </c>
      <c r="M486">
        <v>377037</v>
      </c>
      <c r="N486">
        <v>2</v>
      </c>
      <c r="O486" t="s">
        <v>42</v>
      </c>
      <c r="P486">
        <v>86.7</v>
      </c>
      <c r="Q486" t="str">
        <f t="shared" si="7"/>
        <v>Low</v>
      </c>
    </row>
    <row r="487" spans="1:17" x14ac:dyDescent="0.3">
      <c r="A487" t="s">
        <v>1448</v>
      </c>
      <c r="B487" t="s">
        <v>1449</v>
      </c>
      <c r="C487" t="s">
        <v>22</v>
      </c>
      <c r="D487" t="s">
        <v>10</v>
      </c>
      <c r="E487" t="s">
        <v>45</v>
      </c>
      <c r="F487" t="s">
        <v>1450</v>
      </c>
      <c r="G487" t="str">
        <f>TEXT(Table1_1[[#This Row],[Joining_Date]],"mmm")</f>
        <v>Jan</v>
      </c>
      <c r="H487" t="str">
        <f>TEXT(Table1_1[[#This Row],[Joining_Date]],"yyyy")</f>
        <v>2024</v>
      </c>
      <c r="I487" s="1"/>
      <c r="J487" t="s">
        <v>29</v>
      </c>
      <c r="K487">
        <f>IF(Table1_1[[#This Row],[Status]]="Exited",1,0)</f>
        <v>0</v>
      </c>
      <c r="L487">
        <f>IF(Table1_1[[#This Row],[Status]]="Exited",0,1)</f>
        <v>1</v>
      </c>
      <c r="M487">
        <v>730681</v>
      </c>
      <c r="N487">
        <v>3.6</v>
      </c>
      <c r="O487" t="s">
        <v>24</v>
      </c>
      <c r="P487">
        <v>90.7</v>
      </c>
      <c r="Q487" t="str">
        <f t="shared" si="7"/>
        <v>Low</v>
      </c>
    </row>
    <row r="488" spans="1:17" x14ac:dyDescent="0.3">
      <c r="A488" t="s">
        <v>1451</v>
      </c>
      <c r="B488" t="s">
        <v>1452</v>
      </c>
      <c r="C488" t="s">
        <v>14</v>
      </c>
      <c r="D488" t="s">
        <v>33</v>
      </c>
      <c r="E488" t="s">
        <v>16</v>
      </c>
      <c r="F488" t="s">
        <v>1453</v>
      </c>
      <c r="G488" t="str">
        <f>TEXT(Table1_1[[#This Row],[Joining_Date]],"mmm")</f>
        <v>Mar</v>
      </c>
      <c r="H488" t="str">
        <f>TEXT(Table1_1[[#This Row],[Joining_Date]],"yyyy")</f>
        <v>2024</v>
      </c>
      <c r="I488" s="1"/>
      <c r="J488" t="s">
        <v>29</v>
      </c>
      <c r="K488">
        <f>IF(Table1_1[[#This Row],[Status]]="Exited",1,0)</f>
        <v>0</v>
      </c>
      <c r="L488">
        <f>IF(Table1_1[[#This Row],[Status]]="Exited",0,1)</f>
        <v>1</v>
      </c>
      <c r="M488">
        <v>1029955</v>
      </c>
      <c r="N488">
        <v>3.6</v>
      </c>
      <c r="O488" t="s">
        <v>30</v>
      </c>
      <c r="P488">
        <v>90.2</v>
      </c>
      <c r="Q488" t="str">
        <f t="shared" si="7"/>
        <v>Low</v>
      </c>
    </row>
    <row r="489" spans="1:17" x14ac:dyDescent="0.3">
      <c r="A489" t="s">
        <v>1454</v>
      </c>
      <c r="B489" t="s">
        <v>1455</v>
      </c>
      <c r="C489" t="s">
        <v>37</v>
      </c>
      <c r="D489" t="s">
        <v>15</v>
      </c>
      <c r="E489" t="s">
        <v>16</v>
      </c>
      <c r="F489" t="s">
        <v>1456</v>
      </c>
      <c r="G489" t="str">
        <f>TEXT(Table1_1[[#This Row],[Joining_Date]],"mmm")</f>
        <v>May</v>
      </c>
      <c r="H489" t="str">
        <f>TEXT(Table1_1[[#This Row],[Joining_Date]],"yyyy")</f>
        <v>2021</v>
      </c>
      <c r="I489" s="1">
        <v>44839</v>
      </c>
      <c r="J489" t="s">
        <v>18</v>
      </c>
      <c r="K489">
        <f>IF(Table1_1[[#This Row],[Status]]="Exited",1,0)</f>
        <v>1</v>
      </c>
      <c r="L489">
        <f>IF(Table1_1[[#This Row],[Status]]="Exited",0,1)</f>
        <v>0</v>
      </c>
      <c r="M489">
        <v>813662</v>
      </c>
      <c r="N489">
        <v>2</v>
      </c>
      <c r="O489" t="s">
        <v>24</v>
      </c>
      <c r="P489">
        <v>85.8</v>
      </c>
      <c r="Q489" t="str">
        <f t="shared" si="7"/>
        <v>Low</v>
      </c>
    </row>
    <row r="490" spans="1:17" x14ac:dyDescent="0.3">
      <c r="A490" t="s">
        <v>1457</v>
      </c>
      <c r="B490" t="s">
        <v>1458</v>
      </c>
      <c r="C490" t="s">
        <v>14</v>
      </c>
      <c r="D490" t="s">
        <v>10</v>
      </c>
      <c r="E490" t="s">
        <v>50</v>
      </c>
      <c r="F490" t="s">
        <v>1459</v>
      </c>
      <c r="G490" t="str">
        <f>TEXT(Table1_1[[#This Row],[Joining_Date]],"mmm")</f>
        <v>May</v>
      </c>
      <c r="H490" t="str">
        <f>TEXT(Table1_1[[#This Row],[Joining_Date]],"yyyy")</f>
        <v>2022</v>
      </c>
      <c r="I490" s="1">
        <v>44844</v>
      </c>
      <c r="J490" t="s">
        <v>18</v>
      </c>
      <c r="K490">
        <f>IF(Table1_1[[#This Row],[Status]]="Exited",1,0)</f>
        <v>1</v>
      </c>
      <c r="L490">
        <f>IF(Table1_1[[#This Row],[Status]]="Exited",0,1)</f>
        <v>0</v>
      </c>
      <c r="M490">
        <v>1192774</v>
      </c>
      <c r="N490">
        <v>2.8</v>
      </c>
      <c r="O490" t="s">
        <v>24</v>
      </c>
      <c r="P490">
        <v>94.9</v>
      </c>
      <c r="Q490" t="str">
        <f t="shared" si="7"/>
        <v>Low</v>
      </c>
    </row>
    <row r="491" spans="1:17" x14ac:dyDescent="0.3">
      <c r="A491" t="s">
        <v>1460</v>
      </c>
      <c r="B491" t="s">
        <v>1461</v>
      </c>
      <c r="C491" t="s">
        <v>61</v>
      </c>
      <c r="D491" t="s">
        <v>15</v>
      </c>
      <c r="E491" t="s">
        <v>16</v>
      </c>
      <c r="F491" t="s">
        <v>478</v>
      </c>
      <c r="G491" t="str">
        <f>TEXT(Table1_1[[#This Row],[Joining_Date]],"mmm")</f>
        <v>May</v>
      </c>
      <c r="H491" t="str">
        <f>TEXT(Table1_1[[#This Row],[Joining_Date]],"yyyy")</f>
        <v>2024</v>
      </c>
      <c r="I491" s="1">
        <v>45815</v>
      </c>
      <c r="J491" t="s">
        <v>18</v>
      </c>
      <c r="K491">
        <f>IF(Table1_1[[#This Row],[Status]]="Exited",1,0)</f>
        <v>1</v>
      </c>
      <c r="L491">
        <f>IF(Table1_1[[#This Row],[Status]]="Exited",0,1)</f>
        <v>0</v>
      </c>
      <c r="M491">
        <v>477634</v>
      </c>
      <c r="N491">
        <v>3</v>
      </c>
      <c r="O491" t="s">
        <v>19</v>
      </c>
      <c r="P491">
        <v>87.5</v>
      </c>
      <c r="Q491" t="str">
        <f t="shared" si="7"/>
        <v>Low</v>
      </c>
    </row>
    <row r="492" spans="1:17" x14ac:dyDescent="0.3">
      <c r="A492" t="s">
        <v>1462</v>
      </c>
      <c r="B492" t="s">
        <v>1463</v>
      </c>
      <c r="C492" t="s">
        <v>14</v>
      </c>
      <c r="D492" t="s">
        <v>33</v>
      </c>
      <c r="E492" t="s">
        <v>45</v>
      </c>
      <c r="F492" t="s">
        <v>1464</v>
      </c>
      <c r="G492" t="str">
        <f>TEXT(Table1_1[[#This Row],[Joining_Date]],"mmm")</f>
        <v>May</v>
      </c>
      <c r="H492" t="str">
        <f>TEXT(Table1_1[[#This Row],[Joining_Date]],"yyyy")</f>
        <v>2020</v>
      </c>
      <c r="I492" s="1"/>
      <c r="J492" t="s">
        <v>29</v>
      </c>
      <c r="K492">
        <f>IF(Table1_1[[#This Row],[Status]]="Exited",1,0)</f>
        <v>0</v>
      </c>
      <c r="L492">
        <f>IF(Table1_1[[#This Row],[Status]]="Exited",0,1)</f>
        <v>1</v>
      </c>
      <c r="M492">
        <v>998029</v>
      </c>
      <c r="N492">
        <v>4.9000000000000004</v>
      </c>
      <c r="O492" t="s">
        <v>24</v>
      </c>
      <c r="P492">
        <v>83.9</v>
      </c>
      <c r="Q492" t="str">
        <f t="shared" si="7"/>
        <v>High</v>
      </c>
    </row>
    <row r="493" spans="1:17" x14ac:dyDescent="0.3">
      <c r="A493" t="s">
        <v>1465</v>
      </c>
      <c r="B493" t="s">
        <v>1466</v>
      </c>
      <c r="C493" t="s">
        <v>14</v>
      </c>
      <c r="D493" t="s">
        <v>15</v>
      </c>
      <c r="E493" t="s">
        <v>27</v>
      </c>
      <c r="F493" t="s">
        <v>1467</v>
      </c>
      <c r="G493" t="str">
        <f>TEXT(Table1_1[[#This Row],[Joining_Date]],"mmm")</f>
        <v>Apr</v>
      </c>
      <c r="H493" t="str">
        <f>TEXT(Table1_1[[#This Row],[Joining_Date]],"yyyy")</f>
        <v>2018</v>
      </c>
      <c r="I493" s="1"/>
      <c r="J493" t="s">
        <v>29</v>
      </c>
      <c r="K493">
        <f>IF(Table1_1[[#This Row],[Status]]="Exited",1,0)</f>
        <v>0</v>
      </c>
      <c r="L493">
        <f>IF(Table1_1[[#This Row],[Status]]="Exited",0,1)</f>
        <v>1</v>
      </c>
      <c r="M493">
        <v>311326</v>
      </c>
      <c r="N493">
        <v>4.7</v>
      </c>
      <c r="O493" t="s">
        <v>42</v>
      </c>
      <c r="P493">
        <v>80.3</v>
      </c>
      <c r="Q493" t="str">
        <f t="shared" si="7"/>
        <v>High</v>
      </c>
    </row>
    <row r="494" spans="1:17" x14ac:dyDescent="0.3">
      <c r="A494" t="s">
        <v>1468</v>
      </c>
      <c r="B494" t="s">
        <v>1469</v>
      </c>
      <c r="C494" t="s">
        <v>54</v>
      </c>
      <c r="D494" t="s">
        <v>49</v>
      </c>
      <c r="E494" t="s">
        <v>27</v>
      </c>
      <c r="F494" t="s">
        <v>1470</v>
      </c>
      <c r="G494" t="str">
        <f>TEXT(Table1_1[[#This Row],[Joining_Date]],"mmm")</f>
        <v>Jun</v>
      </c>
      <c r="H494" t="str">
        <f>TEXT(Table1_1[[#This Row],[Joining_Date]],"yyyy")</f>
        <v>2018</v>
      </c>
      <c r="I494" s="1">
        <v>44740</v>
      </c>
      <c r="J494" t="s">
        <v>18</v>
      </c>
      <c r="K494">
        <f>IF(Table1_1[[#This Row],[Status]]="Exited",1,0)</f>
        <v>1</v>
      </c>
      <c r="L494">
        <f>IF(Table1_1[[#This Row],[Status]]="Exited",0,1)</f>
        <v>0</v>
      </c>
      <c r="M494">
        <v>699787</v>
      </c>
      <c r="N494">
        <v>4.0999999999999996</v>
      </c>
      <c r="O494" t="s">
        <v>42</v>
      </c>
      <c r="P494">
        <v>76.900000000000006</v>
      </c>
      <c r="Q494" t="str">
        <f t="shared" si="7"/>
        <v>High</v>
      </c>
    </row>
    <row r="495" spans="1:17" x14ac:dyDescent="0.3">
      <c r="A495" t="s">
        <v>1471</v>
      </c>
      <c r="B495" t="s">
        <v>1472</v>
      </c>
      <c r="C495" t="s">
        <v>54</v>
      </c>
      <c r="D495" t="s">
        <v>10</v>
      </c>
      <c r="E495" t="s">
        <v>16</v>
      </c>
      <c r="F495" t="s">
        <v>1473</v>
      </c>
      <c r="G495" t="str">
        <f>TEXT(Table1_1[[#This Row],[Joining_Date]],"mmm")</f>
        <v>Mar</v>
      </c>
      <c r="H495" t="str">
        <f>TEXT(Table1_1[[#This Row],[Joining_Date]],"yyyy")</f>
        <v>2023</v>
      </c>
      <c r="I495" s="1"/>
      <c r="J495" t="s">
        <v>29</v>
      </c>
      <c r="K495">
        <f>IF(Table1_1[[#This Row],[Status]]="Exited",1,0)</f>
        <v>0</v>
      </c>
      <c r="L495">
        <f>IF(Table1_1[[#This Row],[Status]]="Exited",0,1)</f>
        <v>1</v>
      </c>
      <c r="M495">
        <v>886827</v>
      </c>
      <c r="N495">
        <v>3.7</v>
      </c>
      <c r="O495" t="s">
        <v>19</v>
      </c>
      <c r="P495">
        <v>77.7</v>
      </c>
      <c r="Q495" t="str">
        <f t="shared" si="7"/>
        <v>Low</v>
      </c>
    </row>
    <row r="496" spans="1:17" x14ac:dyDescent="0.3">
      <c r="A496" t="s">
        <v>1474</v>
      </c>
      <c r="B496" t="s">
        <v>1475</v>
      </c>
      <c r="C496" t="s">
        <v>14</v>
      </c>
      <c r="D496" t="s">
        <v>10</v>
      </c>
      <c r="E496" t="s">
        <v>50</v>
      </c>
      <c r="F496" t="s">
        <v>524</v>
      </c>
      <c r="G496" t="str">
        <f>TEXT(Table1_1[[#This Row],[Joining_Date]],"mmm")</f>
        <v>Nov</v>
      </c>
      <c r="H496" t="str">
        <f>TEXT(Table1_1[[#This Row],[Joining_Date]],"yyyy")</f>
        <v>2018</v>
      </c>
      <c r="I496" s="1"/>
      <c r="J496" t="s">
        <v>29</v>
      </c>
      <c r="K496">
        <f>IF(Table1_1[[#This Row],[Status]]="Exited",1,0)</f>
        <v>0</v>
      </c>
      <c r="L496">
        <f>IF(Table1_1[[#This Row],[Status]]="Exited",0,1)</f>
        <v>1</v>
      </c>
      <c r="M496">
        <v>888772</v>
      </c>
      <c r="N496">
        <v>4.4000000000000004</v>
      </c>
      <c r="O496" t="s">
        <v>19</v>
      </c>
      <c r="P496">
        <v>90.5</v>
      </c>
      <c r="Q496" t="str">
        <f t="shared" si="7"/>
        <v>High</v>
      </c>
    </row>
    <row r="497" spans="1:17" x14ac:dyDescent="0.3">
      <c r="A497" t="s">
        <v>1476</v>
      </c>
      <c r="B497" t="s">
        <v>1477</v>
      </c>
      <c r="C497" t="s">
        <v>37</v>
      </c>
      <c r="D497" t="s">
        <v>15</v>
      </c>
      <c r="E497" t="s">
        <v>50</v>
      </c>
      <c r="F497" t="s">
        <v>1478</v>
      </c>
      <c r="G497" t="str">
        <f>TEXT(Table1_1[[#This Row],[Joining_Date]],"mmm")</f>
        <v>Jun</v>
      </c>
      <c r="H497" t="str">
        <f>TEXT(Table1_1[[#This Row],[Joining_Date]],"yyyy")</f>
        <v>2018</v>
      </c>
      <c r="I497" s="1">
        <v>43813</v>
      </c>
      <c r="J497" t="s">
        <v>18</v>
      </c>
      <c r="K497">
        <f>IF(Table1_1[[#This Row],[Status]]="Exited",1,0)</f>
        <v>1</v>
      </c>
      <c r="L497">
        <f>IF(Table1_1[[#This Row],[Status]]="Exited",0,1)</f>
        <v>0</v>
      </c>
      <c r="M497">
        <v>820001</v>
      </c>
      <c r="N497">
        <v>2.9</v>
      </c>
      <c r="O497" t="s">
        <v>30</v>
      </c>
      <c r="P497">
        <v>82.3</v>
      </c>
      <c r="Q497" t="str">
        <f t="shared" si="7"/>
        <v>Low</v>
      </c>
    </row>
    <row r="498" spans="1:17" x14ac:dyDescent="0.3">
      <c r="A498" t="s">
        <v>1479</v>
      </c>
      <c r="B498" t="s">
        <v>1480</v>
      </c>
      <c r="C498" t="s">
        <v>37</v>
      </c>
      <c r="D498" t="s">
        <v>49</v>
      </c>
      <c r="E498" t="s">
        <v>16</v>
      </c>
      <c r="F498" t="s">
        <v>1481</v>
      </c>
      <c r="G498" t="str">
        <f>TEXT(Table1_1[[#This Row],[Joining_Date]],"mmm")</f>
        <v>Aug</v>
      </c>
      <c r="H498" t="str">
        <f>TEXT(Table1_1[[#This Row],[Joining_Date]],"yyyy")</f>
        <v>2022</v>
      </c>
      <c r="I498" s="1">
        <v>45759</v>
      </c>
      <c r="J498" t="s">
        <v>18</v>
      </c>
      <c r="K498">
        <f>IF(Table1_1[[#This Row],[Status]]="Exited",1,0)</f>
        <v>1</v>
      </c>
      <c r="L498">
        <f>IF(Table1_1[[#This Row],[Status]]="Exited",0,1)</f>
        <v>0</v>
      </c>
      <c r="M498">
        <v>849376</v>
      </c>
      <c r="N498">
        <v>4</v>
      </c>
      <c r="O498" t="s">
        <v>30</v>
      </c>
      <c r="P498">
        <v>93.8</v>
      </c>
      <c r="Q498" t="str">
        <f t="shared" si="7"/>
        <v>Low</v>
      </c>
    </row>
    <row r="499" spans="1:17" x14ac:dyDescent="0.3">
      <c r="A499" t="s">
        <v>1482</v>
      </c>
      <c r="B499" t="s">
        <v>1483</v>
      </c>
      <c r="C499" t="s">
        <v>54</v>
      </c>
      <c r="D499" t="s">
        <v>10</v>
      </c>
      <c r="E499" t="s">
        <v>27</v>
      </c>
      <c r="F499" t="s">
        <v>317</v>
      </c>
      <c r="G499" t="str">
        <f>TEXT(Table1_1[[#This Row],[Joining_Date]],"mmm")</f>
        <v>Jul</v>
      </c>
      <c r="H499" t="str">
        <f>TEXT(Table1_1[[#This Row],[Joining_Date]],"yyyy")</f>
        <v>2020</v>
      </c>
      <c r="I499" s="1">
        <v>45132</v>
      </c>
      <c r="J499" t="s">
        <v>18</v>
      </c>
      <c r="K499">
        <f>IF(Table1_1[[#This Row],[Status]]="Exited",1,0)</f>
        <v>1</v>
      </c>
      <c r="L499">
        <f>IF(Table1_1[[#This Row],[Status]]="Exited",0,1)</f>
        <v>0</v>
      </c>
      <c r="M499">
        <v>752899</v>
      </c>
      <c r="N499">
        <v>3.6</v>
      </c>
      <c r="O499" t="s">
        <v>24</v>
      </c>
      <c r="P499">
        <v>93.9</v>
      </c>
      <c r="Q499" t="str">
        <f t="shared" si="7"/>
        <v>Low</v>
      </c>
    </row>
    <row r="500" spans="1:17" x14ac:dyDescent="0.3">
      <c r="A500" t="s">
        <v>1484</v>
      </c>
      <c r="B500" t="s">
        <v>1485</v>
      </c>
      <c r="C500" t="s">
        <v>14</v>
      </c>
      <c r="D500" t="s">
        <v>15</v>
      </c>
      <c r="E500" t="s">
        <v>45</v>
      </c>
      <c r="F500" t="s">
        <v>1005</v>
      </c>
      <c r="G500" t="str">
        <f>TEXT(Table1_1[[#This Row],[Joining_Date]],"mmm")</f>
        <v>Jan</v>
      </c>
      <c r="H500" t="str">
        <f>TEXT(Table1_1[[#This Row],[Joining_Date]],"yyyy")</f>
        <v>2021</v>
      </c>
      <c r="I500" s="1">
        <v>44930</v>
      </c>
      <c r="J500" t="s">
        <v>18</v>
      </c>
      <c r="K500">
        <f>IF(Table1_1[[#This Row],[Status]]="Exited",1,0)</f>
        <v>1</v>
      </c>
      <c r="L500">
        <f>IF(Table1_1[[#This Row],[Status]]="Exited",0,1)</f>
        <v>0</v>
      </c>
      <c r="M500">
        <v>373111</v>
      </c>
      <c r="N500">
        <v>2.2999999999999998</v>
      </c>
      <c r="O500" t="s">
        <v>42</v>
      </c>
      <c r="P500">
        <v>94.5</v>
      </c>
      <c r="Q500" t="str">
        <f t="shared" si="7"/>
        <v>Low</v>
      </c>
    </row>
    <row r="501" spans="1:17" x14ac:dyDescent="0.3">
      <c r="A501" t="s">
        <v>1486</v>
      </c>
      <c r="B501" t="s">
        <v>1487</v>
      </c>
      <c r="C501" t="s">
        <v>54</v>
      </c>
      <c r="D501" t="s">
        <v>49</v>
      </c>
      <c r="E501" t="s">
        <v>45</v>
      </c>
      <c r="F501" t="s">
        <v>1488</v>
      </c>
      <c r="G501" t="str">
        <f>TEXT(Table1_1[[#This Row],[Joining_Date]],"mmm")</f>
        <v>Jan</v>
      </c>
      <c r="H501" t="str">
        <f>TEXT(Table1_1[[#This Row],[Joining_Date]],"yyyy")</f>
        <v>2018</v>
      </c>
      <c r="I501" s="1">
        <v>44148</v>
      </c>
      <c r="J501" t="s">
        <v>18</v>
      </c>
      <c r="K501">
        <f>IF(Table1_1[[#This Row],[Status]]="Exited",1,0)</f>
        <v>1</v>
      </c>
      <c r="L501">
        <f>IF(Table1_1[[#This Row],[Status]]="Exited",0,1)</f>
        <v>0</v>
      </c>
      <c r="M501">
        <v>703608</v>
      </c>
      <c r="N501">
        <v>2.7</v>
      </c>
      <c r="O501" t="s">
        <v>19</v>
      </c>
      <c r="P501">
        <v>83.5</v>
      </c>
      <c r="Q501" t="str">
        <f t="shared" si="7"/>
        <v>Low</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4CCF2F-23CB-48B4-80B9-1228EABEAA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Findings</vt:lpstr>
      <vt:lpstr>Table1</vt:lpstr>
      <vt:lpstr>Table1!Extract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Shivam Khante</cp:lastModifiedBy>
  <dcterms:created xsi:type="dcterms:W3CDTF">2026-03-24T04:51:47Z</dcterms:created>
  <dcterms:modified xsi:type="dcterms:W3CDTF">2026-03-24T10:32:29Z</dcterms:modified>
</cp:coreProperties>
</file>